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87797D2C-FE6F-46CA-BEDC-2696B88BD45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سفارش 1" sheetId="1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7" i="13" l="1"/>
  <c r="E87" i="13" s="1"/>
  <c r="G87" i="13"/>
  <c r="H87" i="13" s="1"/>
  <c r="L80" i="13"/>
  <c r="E80" i="13" s="1"/>
  <c r="M109" i="13" l="1"/>
  <c r="N109" i="13"/>
  <c r="O109" i="13"/>
  <c r="P109" i="13"/>
  <c r="Q109" i="13"/>
  <c r="R109" i="13"/>
  <c r="S109" i="13"/>
  <c r="T109" i="13"/>
  <c r="U109" i="13"/>
  <c r="V109" i="13"/>
  <c r="W109" i="13"/>
  <c r="L2" i="13" l="1"/>
  <c r="L3" i="13"/>
  <c r="L4" i="13"/>
  <c r="L5" i="13"/>
  <c r="L6" i="13"/>
  <c r="L7" i="13"/>
  <c r="L44" i="13"/>
  <c r="E44" i="13" s="1"/>
  <c r="G44" i="13"/>
  <c r="H44" i="13" s="1"/>
  <c r="I44" i="13" s="1"/>
  <c r="G4" i="13" l="1"/>
  <c r="H4" i="13" s="1"/>
  <c r="I4" i="13" s="1"/>
  <c r="G5" i="13"/>
  <c r="H5" i="13" s="1"/>
  <c r="I5" i="13" s="1"/>
  <c r="G6" i="13"/>
  <c r="H6" i="13"/>
  <c r="I6" i="13" s="1"/>
  <c r="G7" i="13"/>
  <c r="H7" i="13"/>
  <c r="I7" i="13" s="1"/>
  <c r="E4" i="13"/>
  <c r="E5" i="13"/>
  <c r="E6" i="13"/>
  <c r="E7" i="13"/>
  <c r="D109" i="13" l="1"/>
  <c r="C109" i="13"/>
  <c r="E2" i="13"/>
  <c r="G2" i="13"/>
  <c r="H2" i="13" s="1"/>
  <c r="I2" i="13" s="1"/>
  <c r="E3" i="13"/>
  <c r="G3" i="13"/>
  <c r="H3" i="13" s="1"/>
  <c r="I3" i="13" s="1"/>
  <c r="L108" i="13"/>
  <c r="L107" i="13"/>
  <c r="L106" i="13"/>
  <c r="L105" i="13"/>
  <c r="L104" i="13"/>
  <c r="L103" i="13"/>
  <c r="L102" i="13"/>
  <c r="L101" i="13"/>
  <c r="L100" i="13"/>
  <c r="G100" i="13"/>
  <c r="L99" i="13"/>
  <c r="G99" i="13"/>
  <c r="L98" i="13"/>
  <c r="G98" i="13"/>
  <c r="L97" i="13"/>
  <c r="G97" i="13"/>
  <c r="L96" i="13"/>
  <c r="G96" i="13"/>
  <c r="L95" i="13"/>
  <c r="G95" i="13"/>
  <c r="H95" i="13" s="1"/>
  <c r="L94" i="13"/>
  <c r="G94" i="13"/>
  <c r="H94" i="13" s="1"/>
  <c r="L93" i="13"/>
  <c r="G93" i="13"/>
  <c r="H93" i="13" s="1"/>
  <c r="L92" i="13"/>
  <c r="G92" i="13"/>
  <c r="H92" i="13" s="1"/>
  <c r="L91" i="13"/>
  <c r="G91" i="13"/>
  <c r="H91" i="13" s="1"/>
  <c r="L90" i="13"/>
  <c r="G90" i="13"/>
  <c r="H90" i="13" s="1"/>
  <c r="L89" i="13"/>
  <c r="G89" i="13"/>
  <c r="H89" i="13" s="1"/>
  <c r="L88" i="13"/>
  <c r="G88" i="13"/>
  <c r="H88" i="13" s="1"/>
  <c r="L86" i="13"/>
  <c r="G86" i="13"/>
  <c r="H86" i="13" s="1"/>
  <c r="L85" i="13"/>
  <c r="G85" i="13"/>
  <c r="H85" i="13" s="1"/>
  <c r="L84" i="13"/>
  <c r="G84" i="13"/>
  <c r="H84" i="13" s="1"/>
  <c r="L83" i="13"/>
  <c r="G83" i="13"/>
  <c r="H83" i="13" s="1"/>
  <c r="L82" i="13"/>
  <c r="G82" i="13"/>
  <c r="H82" i="13" s="1"/>
  <c r="L81" i="13"/>
  <c r="G81" i="13"/>
  <c r="H81" i="13" s="1"/>
  <c r="L79" i="13"/>
  <c r="G79" i="13"/>
  <c r="H79" i="13" s="1"/>
  <c r="L78" i="13"/>
  <c r="G78" i="13"/>
  <c r="H78" i="13" s="1"/>
  <c r="L77" i="13"/>
  <c r="G77" i="13"/>
  <c r="H77" i="13" s="1"/>
  <c r="L76" i="13"/>
  <c r="G76" i="13"/>
  <c r="H76" i="13" s="1"/>
  <c r="L75" i="13"/>
  <c r="G75" i="13"/>
  <c r="H75" i="13" s="1"/>
  <c r="L74" i="13"/>
  <c r="L73" i="13"/>
  <c r="L72" i="13"/>
  <c r="L71" i="13"/>
  <c r="G71" i="13"/>
  <c r="H71" i="13" s="1"/>
  <c r="L70" i="13"/>
  <c r="G70" i="13"/>
  <c r="H70" i="13" s="1"/>
  <c r="I70" i="13" s="1"/>
  <c r="L69" i="13"/>
  <c r="G69" i="13"/>
  <c r="H69" i="13" s="1"/>
  <c r="I69" i="13" s="1"/>
  <c r="L68" i="13"/>
  <c r="G68" i="13"/>
  <c r="H68" i="13" s="1"/>
  <c r="I68" i="13" s="1"/>
  <c r="L67" i="13"/>
  <c r="G67" i="13"/>
  <c r="H67" i="13" s="1"/>
  <c r="I67" i="13" s="1"/>
  <c r="L66" i="13"/>
  <c r="G66" i="13"/>
  <c r="H66" i="13" s="1"/>
  <c r="I66" i="13" s="1"/>
  <c r="L65" i="13"/>
  <c r="G65" i="13"/>
  <c r="H65" i="13" s="1"/>
  <c r="I65" i="13" s="1"/>
  <c r="L64" i="13"/>
  <c r="G64" i="13"/>
  <c r="H64" i="13" s="1"/>
  <c r="I64" i="13" s="1"/>
  <c r="L63" i="13"/>
  <c r="G63" i="13"/>
  <c r="H63" i="13" s="1"/>
  <c r="I63" i="13" s="1"/>
  <c r="L62" i="13"/>
  <c r="G62" i="13"/>
  <c r="H62" i="13" s="1"/>
  <c r="I62" i="13" s="1"/>
  <c r="L61" i="13"/>
  <c r="G61" i="13"/>
  <c r="H61" i="13" s="1"/>
  <c r="I61" i="13" s="1"/>
  <c r="L60" i="13"/>
  <c r="G60" i="13"/>
  <c r="H60" i="13" s="1"/>
  <c r="I60" i="13" s="1"/>
  <c r="L59" i="13"/>
  <c r="G59" i="13"/>
  <c r="H59" i="13" s="1"/>
  <c r="I59" i="13" s="1"/>
  <c r="L58" i="13"/>
  <c r="G58" i="13"/>
  <c r="H58" i="13" s="1"/>
  <c r="I58" i="13" s="1"/>
  <c r="L57" i="13"/>
  <c r="G57" i="13"/>
  <c r="H57" i="13" s="1"/>
  <c r="I57" i="13" s="1"/>
  <c r="L56" i="13"/>
  <c r="G56" i="13"/>
  <c r="H56" i="13" s="1"/>
  <c r="I56" i="13" s="1"/>
  <c r="L55" i="13"/>
  <c r="G55" i="13"/>
  <c r="H55" i="13" s="1"/>
  <c r="I55" i="13" s="1"/>
  <c r="L54" i="13"/>
  <c r="G54" i="13"/>
  <c r="H54" i="13" s="1"/>
  <c r="I54" i="13" s="1"/>
  <c r="L53" i="13"/>
  <c r="G53" i="13"/>
  <c r="H53" i="13" s="1"/>
  <c r="I53" i="13" s="1"/>
  <c r="L52" i="13"/>
  <c r="G52" i="13"/>
  <c r="H52" i="13" s="1"/>
  <c r="I52" i="13" s="1"/>
  <c r="L51" i="13"/>
  <c r="G51" i="13"/>
  <c r="H51" i="13" s="1"/>
  <c r="I51" i="13" s="1"/>
  <c r="L50" i="13"/>
  <c r="G50" i="13"/>
  <c r="H50" i="13" s="1"/>
  <c r="I50" i="13" s="1"/>
  <c r="L49" i="13"/>
  <c r="G49" i="13"/>
  <c r="H49" i="13" s="1"/>
  <c r="I49" i="13" s="1"/>
  <c r="L48" i="13"/>
  <c r="G48" i="13"/>
  <c r="H48" i="13" s="1"/>
  <c r="I48" i="13" s="1"/>
  <c r="L47" i="13"/>
  <c r="G47" i="13"/>
  <c r="H47" i="13" s="1"/>
  <c r="I47" i="13" s="1"/>
  <c r="L46" i="13"/>
  <c r="G46" i="13"/>
  <c r="H46" i="13" s="1"/>
  <c r="I46" i="13" s="1"/>
  <c r="L45" i="13"/>
  <c r="G45" i="13"/>
  <c r="H45" i="13" s="1"/>
  <c r="I45" i="13" s="1"/>
  <c r="L43" i="13"/>
  <c r="G43" i="13"/>
  <c r="H43" i="13" s="1"/>
  <c r="I43" i="13" s="1"/>
  <c r="L42" i="13"/>
  <c r="G42" i="13"/>
  <c r="H42" i="13" s="1"/>
  <c r="I42" i="13" s="1"/>
  <c r="L41" i="13"/>
  <c r="G41" i="13"/>
  <c r="H41" i="13" s="1"/>
  <c r="I41" i="13" s="1"/>
  <c r="L40" i="13"/>
  <c r="G40" i="13"/>
  <c r="H40" i="13" s="1"/>
  <c r="I40" i="13" s="1"/>
  <c r="L39" i="13"/>
  <c r="G39" i="13"/>
  <c r="H39" i="13" s="1"/>
  <c r="I39" i="13" s="1"/>
  <c r="L38" i="13"/>
  <c r="G38" i="13"/>
  <c r="H38" i="13" s="1"/>
  <c r="I38" i="13" s="1"/>
  <c r="L37" i="13"/>
  <c r="G37" i="13"/>
  <c r="H37" i="13" s="1"/>
  <c r="I37" i="13" s="1"/>
  <c r="L36" i="13"/>
  <c r="G36" i="13"/>
  <c r="H36" i="13" s="1"/>
  <c r="I36" i="13" s="1"/>
  <c r="L35" i="13"/>
  <c r="G35" i="13"/>
  <c r="H35" i="13" s="1"/>
  <c r="I35" i="13" s="1"/>
  <c r="L34" i="13"/>
  <c r="G34" i="13"/>
  <c r="H34" i="13" s="1"/>
  <c r="I34" i="13" s="1"/>
  <c r="L33" i="13"/>
  <c r="G33" i="13"/>
  <c r="H33" i="13" s="1"/>
  <c r="I33" i="13" s="1"/>
  <c r="L32" i="13"/>
  <c r="G32" i="13"/>
  <c r="H32" i="13" s="1"/>
  <c r="I32" i="13" s="1"/>
  <c r="L31" i="13"/>
  <c r="G31" i="13"/>
  <c r="H31" i="13" s="1"/>
  <c r="I31" i="13" s="1"/>
  <c r="L30" i="13"/>
  <c r="G30" i="13"/>
  <c r="H30" i="13" s="1"/>
  <c r="I30" i="13" s="1"/>
  <c r="L29" i="13"/>
  <c r="G29" i="13"/>
  <c r="H29" i="13" s="1"/>
  <c r="I29" i="13" s="1"/>
  <c r="L28" i="13"/>
  <c r="G28" i="13"/>
  <c r="H28" i="13" s="1"/>
  <c r="I28" i="13" s="1"/>
  <c r="L27" i="13"/>
  <c r="G27" i="13"/>
  <c r="H27" i="13" s="1"/>
  <c r="I27" i="13" s="1"/>
  <c r="L26" i="13"/>
  <c r="G26" i="13"/>
  <c r="H26" i="13" s="1"/>
  <c r="I26" i="13" s="1"/>
  <c r="L25" i="13"/>
  <c r="G25" i="13"/>
  <c r="H25" i="13" s="1"/>
  <c r="I25" i="13" s="1"/>
  <c r="L24" i="13"/>
  <c r="G24" i="13"/>
  <c r="H24" i="13" s="1"/>
  <c r="I24" i="13" s="1"/>
  <c r="L23" i="13"/>
  <c r="G23" i="13"/>
  <c r="H23" i="13" s="1"/>
  <c r="I23" i="13" s="1"/>
  <c r="L22" i="13"/>
  <c r="G22" i="13"/>
  <c r="H22" i="13" s="1"/>
  <c r="I22" i="13" s="1"/>
  <c r="L21" i="13"/>
  <c r="G21" i="13"/>
  <c r="H21" i="13" s="1"/>
  <c r="I21" i="13" s="1"/>
  <c r="L20" i="13"/>
  <c r="G20" i="13"/>
  <c r="H20" i="13" s="1"/>
  <c r="I20" i="13" s="1"/>
  <c r="L19" i="13"/>
  <c r="G19" i="13"/>
  <c r="H19" i="13" s="1"/>
  <c r="I19" i="13" s="1"/>
  <c r="L18" i="13"/>
  <c r="G18" i="13"/>
  <c r="H18" i="13" s="1"/>
  <c r="I18" i="13" s="1"/>
  <c r="L17" i="13"/>
  <c r="G17" i="13"/>
  <c r="H17" i="13" s="1"/>
  <c r="I17" i="13" s="1"/>
  <c r="L16" i="13"/>
  <c r="G16" i="13"/>
  <c r="H16" i="13" s="1"/>
  <c r="I16" i="13" s="1"/>
  <c r="L15" i="13"/>
  <c r="G15" i="13"/>
  <c r="H15" i="13" s="1"/>
  <c r="I15" i="13" s="1"/>
  <c r="L14" i="13"/>
  <c r="G14" i="13"/>
  <c r="H14" i="13" s="1"/>
  <c r="I14" i="13" s="1"/>
  <c r="L13" i="13"/>
  <c r="G13" i="13"/>
  <c r="H13" i="13" s="1"/>
  <c r="I13" i="13" s="1"/>
  <c r="L12" i="13"/>
  <c r="G12" i="13"/>
  <c r="H12" i="13" s="1"/>
  <c r="I12" i="13" s="1"/>
  <c r="L11" i="13"/>
  <c r="G11" i="13"/>
  <c r="H11" i="13" s="1"/>
  <c r="I11" i="13" s="1"/>
  <c r="L10" i="13"/>
  <c r="G10" i="13"/>
  <c r="H10" i="13" s="1"/>
  <c r="I10" i="13" s="1"/>
  <c r="L9" i="13"/>
  <c r="G9" i="13"/>
  <c r="H9" i="13" s="1"/>
  <c r="I9" i="13" s="1"/>
  <c r="L8" i="13"/>
  <c r="G8" i="13"/>
  <c r="H8" i="13" s="1"/>
  <c r="I8" i="13" s="1"/>
  <c r="L109" i="13" l="1"/>
  <c r="C16" i="2"/>
  <c r="E94" i="13"/>
  <c r="E97" i="13"/>
  <c r="E93" i="13"/>
  <c r="E11" i="13"/>
  <c r="E63" i="13"/>
  <c r="E49" i="13"/>
  <c r="E67" i="13"/>
  <c r="E107" i="13"/>
  <c r="E57" i="13"/>
  <c r="E82" i="13"/>
  <c r="E62" i="13"/>
  <c r="E64" i="13"/>
  <c r="E85" i="13"/>
  <c r="E14" i="13"/>
  <c r="E89" i="13"/>
  <c r="E65" i="13"/>
  <c r="E13" i="13"/>
  <c r="E84" i="13"/>
  <c r="E23" i="13"/>
  <c r="E45" i="13"/>
  <c r="E15" i="13"/>
  <c r="E91" i="13"/>
  <c r="E108" i="13"/>
  <c r="E18" i="13"/>
  <c r="E22" i="13"/>
  <c r="E101" i="13"/>
  <c r="E24" i="13"/>
  <c r="E76" i="13"/>
  <c r="E81" i="13"/>
  <c r="E102" i="13"/>
  <c r="E37" i="13"/>
  <c r="E34" i="13"/>
  <c r="E92" i="13"/>
  <c r="E20" i="13"/>
  <c r="E33" i="13"/>
  <c r="E90" i="13"/>
  <c r="E106" i="13"/>
  <c r="E50" i="13"/>
  <c r="E78" i="13"/>
  <c r="E29" i="13"/>
  <c r="E58" i="13"/>
  <c r="E55" i="13"/>
  <c r="E73" i="13"/>
  <c r="E16" i="13"/>
  <c r="E100" i="13"/>
  <c r="E54" i="13"/>
  <c r="E60" i="13"/>
  <c r="E68" i="13"/>
  <c r="E83" i="13"/>
  <c r="E32" i="13"/>
  <c r="E40" i="13"/>
  <c r="E19" i="13"/>
  <c r="E41" i="13"/>
  <c r="E25" i="13"/>
  <c r="E10" i="13"/>
  <c r="E43" i="13"/>
  <c r="E61" i="13"/>
  <c r="E53" i="13"/>
  <c r="E27" i="13"/>
  <c r="E77" i="13"/>
  <c r="E52" i="13"/>
  <c r="E17" i="13"/>
  <c r="E79" i="13"/>
  <c r="E103" i="13"/>
  <c r="E69" i="13"/>
  <c r="E88" i="13"/>
  <c r="E39" i="13"/>
  <c r="E56" i="13"/>
  <c r="E74" i="13"/>
  <c r="E66" i="13"/>
  <c r="E96" i="13"/>
  <c r="E51" i="13"/>
  <c r="E104" i="13"/>
  <c r="E98" i="13"/>
  <c r="E28" i="13"/>
  <c r="E71" i="13"/>
  <c r="E46" i="13"/>
  <c r="E75" i="13"/>
  <c r="E59" i="13"/>
  <c r="E9" i="13"/>
  <c r="E31" i="13"/>
  <c r="E70" i="13"/>
  <c r="E12" i="13"/>
  <c r="E99" i="13"/>
  <c r="E36" i="13"/>
  <c r="E105" i="13"/>
  <c r="E38" i="13"/>
  <c r="E47" i="13"/>
  <c r="E72" i="13"/>
  <c r="E86" i="13"/>
  <c r="E26" i="13"/>
  <c r="E48" i="13"/>
  <c r="E95" i="13"/>
  <c r="E35" i="13"/>
  <c r="E30" i="13"/>
  <c r="E42" i="13"/>
  <c r="E21" i="13"/>
  <c r="E8" i="13"/>
  <c r="E109" i="13" l="1"/>
</calcChain>
</file>

<file path=xl/sharedStrings.xml><?xml version="1.0" encoding="utf-8"?>
<sst xmlns="http://schemas.openxmlformats.org/spreadsheetml/2006/main" count="151" uniqueCount="141">
  <si>
    <t>کد کالا</t>
  </si>
  <si>
    <t>شرح کالا</t>
  </si>
  <si>
    <t>سفارش</t>
  </si>
  <si>
    <t>موجودی قبلی</t>
  </si>
  <si>
    <t>موجودی</t>
  </si>
  <si>
    <t>تعداد در کارتن</t>
  </si>
  <si>
    <t>قیمت تولید</t>
  </si>
  <si>
    <t>قیمت خرید</t>
  </si>
  <si>
    <t>قیمت تحویل جدید</t>
  </si>
  <si>
    <t>قیمت مصرف</t>
  </si>
  <si>
    <t>قیمت تحویل</t>
  </si>
  <si>
    <t>مجموع</t>
  </si>
  <si>
    <t>مایع دست کرمی 1 لیتری</t>
  </si>
  <si>
    <t>شیشه شوی 500 آبی</t>
  </si>
  <si>
    <t>شیشه شوی 500 صورتی</t>
  </si>
  <si>
    <t>شیشه شوی 800 آبی</t>
  </si>
  <si>
    <t>شیشه شوی 800 صورتی</t>
  </si>
  <si>
    <t>اسیدی سرویس بهداشتی</t>
  </si>
  <si>
    <t>پاک کننده سطوح چوبی</t>
  </si>
  <si>
    <t>سرویس بهداشتی سرکج زرد</t>
  </si>
  <si>
    <t>ژل سرکج ویسکوز سرویس بهداشتی</t>
  </si>
  <si>
    <t xml:space="preserve">اسپری شیرآلات و سینک ظرفشویی 500 </t>
  </si>
  <si>
    <t>اسپری شیرآلات و سینک ظرفشویی 800</t>
  </si>
  <si>
    <t>فوم لکه بر مبل و فرش</t>
  </si>
  <si>
    <t>کف لکه بر مخصوص لباس و سرآستین</t>
  </si>
  <si>
    <t>چندمنظوره آنتی باکتریال</t>
  </si>
  <si>
    <t>اسپری همه کاره 500</t>
  </si>
  <si>
    <t>اسپری همه کاره 800</t>
  </si>
  <si>
    <t>سفیدکننده 1 لیتری</t>
  </si>
  <si>
    <t>سفیدکننده 2 لیتری</t>
  </si>
  <si>
    <t>سفیدکننده 4 لیتری</t>
  </si>
  <si>
    <t>اسپری گاز 500</t>
  </si>
  <si>
    <t>اسپری گاز 800</t>
  </si>
  <si>
    <t>اسپری گاز شیشه ای</t>
  </si>
  <si>
    <t>کیسه فریزر 100 عددی</t>
  </si>
  <si>
    <t>کیسه فریزر تقویمی</t>
  </si>
  <si>
    <t>کیسه فریزر جعبه ای 120 عددی</t>
  </si>
  <si>
    <t>کیسه فریزر رولی 120 عددی</t>
  </si>
  <si>
    <t>کیسه فریزر رولی ضخیم 250 عددی</t>
  </si>
  <si>
    <t>زیپ 18*20 تعداد 40 عدد</t>
  </si>
  <si>
    <t>زیپ 20*25 تعداد 30 عدد</t>
  </si>
  <si>
    <t>زیپ 25*35 تعداد 15 عدد</t>
  </si>
  <si>
    <t>فویل آلومینیومی 30 سانتی</t>
  </si>
  <si>
    <t>محافظ غذای 40 سانتی 20 متر</t>
  </si>
  <si>
    <t>محافظ غذای 40 سانتی 25 متر</t>
  </si>
  <si>
    <t>سفره 50 متری طرح دار</t>
  </si>
  <si>
    <t>سفره 50 متری ساده</t>
  </si>
  <si>
    <t>سفره یکبار مصرف مجلسی</t>
  </si>
  <si>
    <t>کیسه زباله ضخیم یک کیلویی (130*90) 20 عدد</t>
  </si>
  <si>
    <t>دستکش یکبار مصرف</t>
  </si>
  <si>
    <t>کیسه زباله سه رول متوسط سبز 42 عدد</t>
  </si>
  <si>
    <t>کیسه زباله سه رول بزرگ آبی 30 عدد</t>
  </si>
  <si>
    <t>اسکاچ آفتابگردان</t>
  </si>
  <si>
    <t>اسکاچ یک زر شیرینگ آبی</t>
  </si>
  <si>
    <t>اسکاچ دو زر شیرینگ قرمز</t>
  </si>
  <si>
    <t>اسکاچ طرح دار شیرینگ سبز</t>
  </si>
  <si>
    <t>سیم ظرفشویی</t>
  </si>
  <si>
    <t>دستمال چند منظوره آشپزخانه</t>
  </si>
  <si>
    <t xml:space="preserve">قرص ماشین ظرفشوییfairy 90 </t>
  </si>
  <si>
    <t>قرص ماشین ظرفشوییfinish quantum 72</t>
  </si>
  <si>
    <t>ژل ماشین ظرفشویی finish</t>
  </si>
  <si>
    <t>جرم گیر ماشین ظرفشویی BOSCH</t>
  </si>
  <si>
    <t xml:space="preserve">بوگیر ماشین ظرفشویی finish </t>
  </si>
  <si>
    <t>جلادهنده 800  ظرفشویی finish اصل ترک</t>
  </si>
  <si>
    <t>خمیر دندان colgate triple</t>
  </si>
  <si>
    <t>خمیر دندان colgate family</t>
  </si>
  <si>
    <t>مسواک Oral-B سه عددی</t>
  </si>
  <si>
    <t xml:space="preserve">مسواک بچگانه 5 تا 7 سال HiDent </t>
  </si>
  <si>
    <t>مسواک بچگانه 7 تا 10 سال HiDent</t>
  </si>
  <si>
    <t>جمع</t>
  </si>
  <si>
    <t>تعداد</t>
  </si>
  <si>
    <t>مشکین شوی 2 لیتری</t>
  </si>
  <si>
    <t>صابون لوکس یاسمین</t>
  </si>
  <si>
    <t>صابون لوکس رمانتیک</t>
  </si>
  <si>
    <t>صابون لوکس گاردنیا</t>
  </si>
  <si>
    <t>صابون لوکس زنبق</t>
  </si>
  <si>
    <t>صابون لوکس گل رز</t>
  </si>
  <si>
    <t>پاک کننده سنگ و سرامیک 1000 گرمی</t>
  </si>
  <si>
    <t>لوله بازکن دوقلو 1500 گرمی</t>
  </si>
  <si>
    <t>مایع لباسشویی 2 لیتری</t>
  </si>
  <si>
    <t>قرص ماشین ظرفشوییfairy 100</t>
  </si>
  <si>
    <t>مایع لباسشویی 2 لیتری آنزیم دار</t>
  </si>
  <si>
    <t>مایع دست کرمی 350 گرمی</t>
  </si>
  <si>
    <t>مایع ظرف 750 گرمی زرد</t>
  </si>
  <si>
    <t>مایع ظرف 750 گرمی سبز</t>
  </si>
  <si>
    <t>مسواک کلگیت مکس فرش</t>
  </si>
  <si>
    <t>مام NIVEA Black &amp; White</t>
  </si>
  <si>
    <t>نخ دندان اورال بی</t>
  </si>
  <si>
    <t>مسواک پرکینز</t>
  </si>
  <si>
    <t>صابون لوکس رز سفید</t>
  </si>
  <si>
    <t>شامپو head &amp; shoulders MENTHOL FRESH</t>
  </si>
  <si>
    <t>شامپو head &amp; shoulders CLASSIC CLEAN</t>
  </si>
  <si>
    <t>شامپو head &amp; shoulders DRY SCALP</t>
  </si>
  <si>
    <t>شامپو head &amp; shoulders SMOOTH &amp; SILKY</t>
  </si>
  <si>
    <t>مسواک سیگنال</t>
  </si>
  <si>
    <t>قرص ظرفشوییfinish Ultimate 85</t>
  </si>
  <si>
    <t>قرص ماشین ظرفشویی fairy platinum 96</t>
  </si>
  <si>
    <t>نمک ماشین ظرفشویی finish اصل ترک</t>
  </si>
  <si>
    <t>مایع ظرف 2700 گرمی زرد</t>
  </si>
  <si>
    <t>مایع ظرف 2700 گرمی سبز</t>
  </si>
  <si>
    <t>بوگیر ماشین ظرفشویی Prill</t>
  </si>
  <si>
    <t>قرص ظرفشوییfinish Ultimate 65</t>
  </si>
  <si>
    <t>شیشه شوی ضد بخار 500</t>
  </si>
  <si>
    <t>شیشه شوی ضد بخار 800</t>
  </si>
  <si>
    <t>خمیر دندان Colgate سفیدکننده دوقلو</t>
  </si>
  <si>
    <t>قرص ظرفشوییfinish Ultimate 60</t>
  </si>
  <si>
    <t>قرص ماشین ظرفشوییfairy 60</t>
  </si>
  <si>
    <t>قرص ماشین ظرفشوییfairy 70</t>
  </si>
  <si>
    <t>مایع دست سایز بزرگ جور</t>
  </si>
  <si>
    <t>مایع دست پمپی جور</t>
  </si>
  <si>
    <t>مایع ظرف بزرگ جور</t>
  </si>
  <si>
    <t>مایع لباسشویی</t>
  </si>
  <si>
    <t>کیسه فریزر رولی</t>
  </si>
  <si>
    <t>مایع دست سبز 500 گرمی</t>
  </si>
  <si>
    <t>مایع دست نارنجی 500 گرمی</t>
  </si>
  <si>
    <t>مایع دست صورتی 500 گرمی</t>
  </si>
  <si>
    <t>مایع دست بنفش 500 گرمی</t>
  </si>
  <si>
    <t>مشکین شوی 1 لیتری</t>
  </si>
  <si>
    <t>عرفان</t>
  </si>
  <si>
    <t>خواهر طاهره</t>
  </si>
  <si>
    <t>خودم</t>
  </si>
  <si>
    <t>فاران</t>
  </si>
  <si>
    <t>خاطره</t>
  </si>
  <si>
    <t>مایع دست سبز 2 کیلویی</t>
  </si>
  <si>
    <t>مایع دست نارنجی 2 کیلویی</t>
  </si>
  <si>
    <t>مایع دست صورتی 2 کیلویی</t>
  </si>
  <si>
    <t>مایع دست بنفش 2 کیلویی</t>
  </si>
  <si>
    <t>مایع لباسشویی ماشینی و دستی 3 لیتری</t>
  </si>
  <si>
    <t>ویدا</t>
  </si>
  <si>
    <t>پیمانی</t>
  </si>
  <si>
    <t>محمودنژاد</t>
  </si>
  <si>
    <t>ثابت</t>
  </si>
  <si>
    <t>نسرین</t>
  </si>
  <si>
    <t>زهرا خانم</t>
  </si>
  <si>
    <t>ممتازی</t>
  </si>
  <si>
    <t>افروز</t>
  </si>
  <si>
    <t>جرم گیر فینیش</t>
  </si>
  <si>
    <t>قرص ماشین ظرفشویی fairy platinum 72</t>
  </si>
  <si>
    <t>شقایق شاه محمدی</t>
  </si>
  <si>
    <t>مایع دستشویی سبز 10 لیتری</t>
  </si>
  <si>
    <t>مایع دستشویی نارنجی 10 لیتری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</si>
</sst>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B Lotus"/>
      <charset val="17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EF0C-7279-4BBE-970E-3C3ADD5B84DD}">
  <dimension ref="A1:Z109"/>
  <sheetViews>
    <sheetView rightToLeft="1" tabSelected="1" workbookViewId="0">
      <pane ySplit="1" topLeftCell="A2" activePane="bottomLeft" state="frozen"/>
      <selection pane="bottomLeft" activeCell="K3" sqref="K3"/>
    </sheetView>
  </sheetViews>
  <sheetFormatPr defaultColWidth="9.140625" defaultRowHeight="21" x14ac:dyDescent="0.25"/>
  <cols>
    <col min="1" max="1" width="5.85546875" style="1" bestFit="1" customWidth="1"/>
    <col min="2" max="2" width="42.140625" style="1" bestFit="1" customWidth="1"/>
    <col min="3" max="3" width="6.28515625" style="1" bestFit="1" customWidth="1"/>
    <col min="4" max="4" width="10.85546875" style="1" bestFit="1" customWidth="1"/>
    <col min="5" max="5" width="7.140625" style="1" bestFit="1" customWidth="1"/>
    <col min="6" max="6" width="11.5703125" style="1" bestFit="1" customWidth="1"/>
    <col min="7" max="8" width="12" style="1" bestFit="1" customWidth="1"/>
    <col min="9" max="9" width="14.7109375" style="1" bestFit="1" customWidth="1"/>
    <col min="10" max="10" width="10.42578125" style="1" bestFit="1" customWidth="1"/>
    <col min="11" max="11" width="10" style="1" bestFit="1" customWidth="1"/>
    <col min="12" max="12" width="5.85546875" style="1" bestFit="1" customWidth="1"/>
    <col min="13" max="13" width="5.140625" style="1" hidden="1" customWidth="1"/>
    <col min="14" max="14" width="10.28515625" style="1" hidden="1" customWidth="1"/>
    <col min="15" max="15" width="5" style="1" hidden="1" customWidth="1"/>
    <col min="16" max="16" width="4.5703125" style="1" hidden="1" customWidth="1"/>
    <col min="17" max="17" width="5.5703125" style="1" hidden="1" customWidth="1"/>
    <col min="18" max="18" width="3.85546875" style="1" hidden="1" customWidth="1"/>
    <col min="19" max="19" width="5.42578125" style="1" hidden="1" customWidth="1"/>
    <col min="20" max="20" width="8.42578125" style="1" hidden="1" customWidth="1"/>
    <col min="21" max="21" width="4.28515625" style="1" hidden="1" customWidth="1"/>
    <col min="22" max="22" width="5.5703125" style="1" hidden="1" customWidth="1"/>
    <col min="23" max="23" width="8.140625" style="1" hidden="1" customWidth="1"/>
    <col min="24" max="24" width="9.85546875" style="1" bestFit="1" customWidth="1"/>
    <col min="25" max="25" width="5.5703125" style="1" bestFit="1" customWidth="1"/>
    <col min="26" max="26" width="14.28515625" style="1" bestFit="1" customWidth="1"/>
    <col min="27" max="27" width="7" style="1" bestFit="1" customWidth="1"/>
    <col min="28" max="28" width="5" style="1" bestFit="1" customWidth="1"/>
    <col min="29" max="29" width="4.28515625" style="1" bestFit="1" customWidth="1"/>
    <col min="30" max="30" width="7" style="1" bestFit="1" customWidth="1"/>
    <col min="31" max="31" width="11.5703125" style="1" bestFit="1" customWidth="1"/>
    <col min="32" max="32" width="5.5703125" style="1" bestFit="1" customWidth="1"/>
    <col min="33" max="33" width="7.140625" style="1" bestFit="1" customWidth="1"/>
    <col min="34" max="34" width="11.5703125" style="1" bestFit="1" customWidth="1"/>
    <col min="35" max="35" width="5.140625" style="1" bestFit="1" customWidth="1"/>
    <col min="36" max="36" width="10.28515625" style="1" bestFit="1" customWidth="1"/>
    <col min="37" max="37" width="5" style="1" bestFit="1" customWidth="1"/>
    <col min="38" max="38" width="5.5703125" style="1" bestFit="1" customWidth="1"/>
    <col min="39" max="39" width="11.140625" style="1" bestFit="1" customWidth="1"/>
    <col min="40" max="40" width="5" style="1" bestFit="1" customWidth="1"/>
    <col min="41" max="41" width="6" style="1" bestFit="1" customWidth="1"/>
    <col min="42" max="42" width="3.42578125" style="1" bestFit="1" customWidth="1"/>
    <col min="43" max="16384" width="9.140625" style="1"/>
  </cols>
  <sheetData>
    <row r="1" spans="1:26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138</v>
      </c>
    </row>
    <row r="2" spans="1:26" ht="21" customHeight="1" x14ac:dyDescent="0.25">
      <c r="A2" s="1">
        <v>904</v>
      </c>
      <c r="B2" s="1" t="s">
        <v>139</v>
      </c>
      <c r="C2" s="1">
        <v>5</v>
      </c>
      <c r="D2" s="1">
        <v>0</v>
      </c>
      <c r="E2" s="1">
        <f t="shared" ref="E2:E7" si="0">F2*C2+D2-L2</f>
        <v>5</v>
      </c>
      <c r="F2" s="1">
        <v>1</v>
      </c>
      <c r="G2" s="1">
        <f t="shared" ref="G2:G3" si="1">J2*0.7764</f>
        <v>1182146.6399999999</v>
      </c>
      <c r="H2" s="1">
        <f t="shared" ref="H2:H3" si="2">G2*0.97</f>
        <v>1146682.2407999998</v>
      </c>
      <c r="I2" s="1">
        <f t="shared" ref="I2:I3" si="3">H2*1.3</f>
        <v>1490686.9130399998</v>
      </c>
      <c r="J2" s="1">
        <v>1522600</v>
      </c>
      <c r="K2" s="1">
        <v>1900000</v>
      </c>
      <c r="L2" s="1">
        <f t="shared" ref="L2:L7" si="4">SUM(M2:AZ2)</f>
        <v>0</v>
      </c>
    </row>
    <row r="3" spans="1:26" ht="21" customHeight="1" x14ac:dyDescent="0.25">
      <c r="A3" s="1">
        <v>905</v>
      </c>
      <c r="B3" s="1" t="s">
        <v>140</v>
      </c>
      <c r="C3" s="1">
        <v>5</v>
      </c>
      <c r="D3" s="1">
        <v>0</v>
      </c>
      <c r="E3" s="1">
        <f t="shared" si="0"/>
        <v>5</v>
      </c>
      <c r="F3" s="1">
        <v>1</v>
      </c>
      <c r="G3" s="1">
        <f t="shared" si="1"/>
        <v>1182146.6399999999</v>
      </c>
      <c r="H3" s="1">
        <f t="shared" si="2"/>
        <v>1146682.2407999998</v>
      </c>
      <c r="I3" s="1">
        <f t="shared" si="3"/>
        <v>1490686.9130399998</v>
      </c>
      <c r="J3" s="1">
        <v>1522600</v>
      </c>
      <c r="K3" s="1">
        <v>1914400</v>
      </c>
      <c r="L3" s="1">
        <f t="shared" si="4"/>
        <v>0</v>
      </c>
    </row>
    <row r="4" spans="1:26" ht="21" customHeight="1" x14ac:dyDescent="0.25">
      <c r="A4" s="1">
        <v>1004</v>
      </c>
      <c r="B4" s="1" t="s">
        <v>123</v>
      </c>
      <c r="C4" s="1">
        <v>2</v>
      </c>
      <c r="D4" s="1">
        <v>0</v>
      </c>
      <c r="E4" s="1">
        <f t="shared" si="0"/>
        <v>6</v>
      </c>
      <c r="F4" s="1">
        <v>4</v>
      </c>
      <c r="G4" s="1">
        <f t="shared" ref="G4:G7" si="5">J4*0.7764</f>
        <v>404800.44131999998</v>
      </c>
      <c r="H4" s="1">
        <f t="shared" ref="H4:H7" si="6">G4*0.97</f>
        <v>392656.42808039999</v>
      </c>
      <c r="I4" s="1">
        <f t="shared" ref="I4:I7" si="7">H4*1.3</f>
        <v>510453.35650451999</v>
      </c>
      <c r="J4" s="1">
        <v>521381.3</v>
      </c>
      <c r="K4" s="1">
        <v>510500</v>
      </c>
      <c r="L4" s="1">
        <f t="shared" si="4"/>
        <v>2</v>
      </c>
      <c r="P4" s="1">
        <v>2</v>
      </c>
    </row>
    <row r="5" spans="1:26" ht="21" customHeight="1" x14ac:dyDescent="0.25">
      <c r="A5" s="1">
        <v>1005</v>
      </c>
      <c r="B5" s="1" t="s">
        <v>124</v>
      </c>
      <c r="C5" s="1">
        <v>2</v>
      </c>
      <c r="D5" s="1">
        <v>0</v>
      </c>
      <c r="E5" s="1">
        <f t="shared" si="0"/>
        <v>7</v>
      </c>
      <c r="F5" s="1">
        <v>4</v>
      </c>
      <c r="G5" s="1">
        <f t="shared" si="5"/>
        <v>404800.44131999998</v>
      </c>
      <c r="H5" s="1">
        <f t="shared" si="6"/>
        <v>392656.42808039999</v>
      </c>
      <c r="I5" s="1">
        <f t="shared" si="7"/>
        <v>510453.35650451999</v>
      </c>
      <c r="J5" s="1">
        <v>521381.3</v>
      </c>
      <c r="K5" s="1">
        <v>510500</v>
      </c>
      <c r="L5" s="1">
        <f t="shared" si="4"/>
        <v>1</v>
      </c>
      <c r="W5" s="1">
        <v>1</v>
      </c>
    </row>
    <row r="6" spans="1:26" ht="21" customHeight="1" x14ac:dyDescent="0.25">
      <c r="A6" s="1">
        <v>1006</v>
      </c>
      <c r="B6" s="1" t="s">
        <v>125</v>
      </c>
      <c r="C6" s="1">
        <v>2</v>
      </c>
      <c r="D6" s="1">
        <v>0</v>
      </c>
      <c r="E6" s="1">
        <f t="shared" si="0"/>
        <v>7</v>
      </c>
      <c r="F6" s="1">
        <v>4</v>
      </c>
      <c r="G6" s="1">
        <f t="shared" si="5"/>
        <v>404800.44131999998</v>
      </c>
      <c r="H6" s="1">
        <f t="shared" si="6"/>
        <v>392656.42808039999</v>
      </c>
      <c r="I6" s="1">
        <f t="shared" si="7"/>
        <v>510453.35650451999</v>
      </c>
      <c r="J6" s="1">
        <v>521381.3</v>
      </c>
      <c r="K6" s="1">
        <v>510500</v>
      </c>
      <c r="L6" s="1">
        <f t="shared" si="4"/>
        <v>1</v>
      </c>
      <c r="T6" s="1">
        <v>1</v>
      </c>
    </row>
    <row r="7" spans="1:26" ht="21" customHeight="1" x14ac:dyDescent="0.25">
      <c r="A7" s="1">
        <v>1007</v>
      </c>
      <c r="B7" s="1" t="s">
        <v>126</v>
      </c>
      <c r="C7" s="1">
        <v>2</v>
      </c>
      <c r="D7" s="1">
        <v>0</v>
      </c>
      <c r="E7" s="1">
        <f t="shared" si="0"/>
        <v>6</v>
      </c>
      <c r="F7" s="1">
        <v>4</v>
      </c>
      <c r="G7" s="1">
        <f t="shared" si="5"/>
        <v>404800.44131999998</v>
      </c>
      <c r="H7" s="1">
        <f t="shared" si="6"/>
        <v>392656.42808039999</v>
      </c>
      <c r="I7" s="1">
        <f t="shared" si="7"/>
        <v>510453.35650451999</v>
      </c>
      <c r="J7" s="1">
        <v>521381.3</v>
      </c>
      <c r="K7" s="1">
        <v>510500</v>
      </c>
      <c r="L7" s="1">
        <f t="shared" si="4"/>
        <v>2</v>
      </c>
      <c r="Q7" s="1">
        <v>1</v>
      </c>
      <c r="U7" s="1">
        <v>1</v>
      </c>
    </row>
    <row r="8" spans="1:26" ht="21" customHeight="1" x14ac:dyDescent="0.25">
      <c r="A8" s="1">
        <v>1008</v>
      </c>
      <c r="B8" s="1" t="s">
        <v>113</v>
      </c>
      <c r="C8" s="1">
        <v>1</v>
      </c>
      <c r="D8" s="1">
        <v>0</v>
      </c>
      <c r="E8" s="1">
        <f t="shared" ref="E8:E59" si="8">F8*C8+D8-L8</f>
        <v>10</v>
      </c>
      <c r="F8" s="1">
        <v>12</v>
      </c>
      <c r="G8" s="1">
        <f t="shared" ref="G8:G59" si="9">J8*0.7764</f>
        <v>132795.14543999999</v>
      </c>
      <c r="H8" s="1">
        <f t="shared" ref="H8:H59" si="10">G8*0.97</f>
        <v>128811.29107679999</v>
      </c>
      <c r="I8" s="1">
        <f t="shared" ref="I8:I59" si="11">H8*1.3</f>
        <v>167454.67839983999</v>
      </c>
      <c r="J8" s="1">
        <v>171039.6</v>
      </c>
      <c r="K8" s="1">
        <v>167400</v>
      </c>
      <c r="L8" s="1">
        <f t="shared" ref="L8:L58" si="12">SUM(M8:AZ8)</f>
        <v>2</v>
      </c>
      <c r="V8" s="1">
        <v>2</v>
      </c>
    </row>
    <row r="9" spans="1:26" ht="21" customHeight="1" x14ac:dyDescent="0.25">
      <c r="A9" s="1">
        <v>1009</v>
      </c>
      <c r="B9" s="1" t="s">
        <v>114</v>
      </c>
      <c r="C9" s="1">
        <v>1</v>
      </c>
      <c r="D9" s="1">
        <v>0</v>
      </c>
      <c r="E9" s="1">
        <f t="shared" si="8"/>
        <v>12</v>
      </c>
      <c r="F9" s="1">
        <v>12</v>
      </c>
      <c r="G9" s="1">
        <f t="shared" si="9"/>
        <v>132795.14543999999</v>
      </c>
      <c r="H9" s="1">
        <f t="shared" si="10"/>
        <v>128811.29107679999</v>
      </c>
      <c r="I9" s="1">
        <f t="shared" si="11"/>
        <v>167454.67839983999</v>
      </c>
      <c r="J9" s="1">
        <v>171039.6</v>
      </c>
      <c r="K9" s="1">
        <v>167400</v>
      </c>
      <c r="L9" s="1">
        <f t="shared" si="12"/>
        <v>0</v>
      </c>
    </row>
    <row r="10" spans="1:26" ht="21" customHeight="1" x14ac:dyDescent="0.25">
      <c r="A10" s="1">
        <v>1010</v>
      </c>
      <c r="B10" s="1" t="s">
        <v>115</v>
      </c>
      <c r="C10" s="1">
        <v>1</v>
      </c>
      <c r="D10" s="1">
        <v>0</v>
      </c>
      <c r="E10" s="1">
        <f t="shared" si="8"/>
        <v>12</v>
      </c>
      <c r="F10" s="1">
        <v>12</v>
      </c>
      <c r="G10" s="1">
        <f t="shared" si="9"/>
        <v>132795.14543999999</v>
      </c>
      <c r="H10" s="1">
        <f t="shared" si="10"/>
        <v>128811.29107679999</v>
      </c>
      <c r="I10" s="1">
        <f t="shared" si="11"/>
        <v>167454.67839983999</v>
      </c>
      <c r="J10" s="1">
        <v>171039.6</v>
      </c>
      <c r="K10" s="1">
        <v>167400</v>
      </c>
      <c r="L10" s="1">
        <f t="shared" si="12"/>
        <v>0</v>
      </c>
    </row>
    <row r="11" spans="1:26" ht="21" customHeight="1" x14ac:dyDescent="0.25">
      <c r="A11" s="1">
        <v>1011</v>
      </c>
      <c r="B11" s="1" t="s">
        <v>116</v>
      </c>
      <c r="C11" s="1">
        <v>1</v>
      </c>
      <c r="D11" s="1">
        <v>0</v>
      </c>
      <c r="E11" s="1">
        <f t="shared" si="8"/>
        <v>12</v>
      </c>
      <c r="F11" s="1">
        <v>12</v>
      </c>
      <c r="G11" s="1">
        <f t="shared" si="9"/>
        <v>132795.14543999999</v>
      </c>
      <c r="H11" s="1">
        <f t="shared" si="10"/>
        <v>128811.29107679999</v>
      </c>
      <c r="I11" s="1">
        <f t="shared" si="11"/>
        <v>167454.67839983999</v>
      </c>
      <c r="J11" s="1">
        <v>171039.6</v>
      </c>
      <c r="K11" s="1">
        <v>167400</v>
      </c>
      <c r="L11" s="1">
        <f t="shared" si="12"/>
        <v>0</v>
      </c>
    </row>
    <row r="12" spans="1:26" ht="21" customHeight="1" x14ac:dyDescent="0.25">
      <c r="A12" s="1">
        <v>1018</v>
      </c>
      <c r="B12" s="1" t="s">
        <v>12</v>
      </c>
      <c r="D12" s="1">
        <v>0</v>
      </c>
      <c r="E12" s="1">
        <f t="shared" si="8"/>
        <v>0</v>
      </c>
      <c r="F12" s="1">
        <v>12</v>
      </c>
      <c r="G12" s="1">
        <f t="shared" si="9"/>
        <v>55903.362119999998</v>
      </c>
      <c r="H12" s="1">
        <f t="shared" si="10"/>
        <v>54226.261256399994</v>
      </c>
      <c r="I12" s="1">
        <f t="shared" si="11"/>
        <v>70494.139633319995</v>
      </c>
      <c r="J12" s="1">
        <v>72003.3</v>
      </c>
      <c r="K12" s="1">
        <v>150000</v>
      </c>
      <c r="L12" s="1">
        <f t="shared" si="12"/>
        <v>0</v>
      </c>
    </row>
    <row r="13" spans="1:26" ht="21" customHeight="1" x14ac:dyDescent="0.25">
      <c r="A13" s="1">
        <v>1019</v>
      </c>
      <c r="B13" s="1" t="s">
        <v>82</v>
      </c>
      <c r="D13" s="1">
        <v>0</v>
      </c>
      <c r="E13" s="1">
        <f t="shared" si="8"/>
        <v>0</v>
      </c>
      <c r="F13" s="1">
        <v>12</v>
      </c>
      <c r="G13" s="1">
        <f t="shared" si="9"/>
        <v>48881.134679999996</v>
      </c>
      <c r="H13" s="1">
        <f t="shared" si="10"/>
        <v>47414.700639599992</v>
      </c>
      <c r="I13" s="1">
        <f t="shared" si="11"/>
        <v>61639.110831479993</v>
      </c>
      <c r="J13" s="1">
        <v>62958.7</v>
      </c>
      <c r="K13" s="1">
        <v>61600</v>
      </c>
      <c r="L13" s="1">
        <f t="shared" si="12"/>
        <v>0</v>
      </c>
    </row>
    <row r="14" spans="1:26" ht="21" customHeight="1" x14ac:dyDescent="0.25">
      <c r="A14" s="1">
        <v>1021</v>
      </c>
      <c r="B14" s="1" t="s">
        <v>83</v>
      </c>
      <c r="D14" s="1">
        <v>11</v>
      </c>
      <c r="E14" s="1">
        <f t="shared" si="8"/>
        <v>11</v>
      </c>
      <c r="F14" s="1">
        <v>12</v>
      </c>
      <c r="G14" s="1">
        <f t="shared" si="9"/>
        <v>75047.134559999991</v>
      </c>
      <c r="H14" s="1">
        <f t="shared" si="10"/>
        <v>72795.720523199983</v>
      </c>
      <c r="I14" s="1">
        <f t="shared" si="11"/>
        <v>94634.436680159983</v>
      </c>
      <c r="J14" s="1">
        <v>96660.4</v>
      </c>
      <c r="K14" s="1">
        <v>96600</v>
      </c>
      <c r="L14" s="1">
        <f t="shared" si="12"/>
        <v>0</v>
      </c>
    </row>
    <row r="15" spans="1:26" ht="21" customHeight="1" x14ac:dyDescent="0.25">
      <c r="A15" s="1">
        <v>1022</v>
      </c>
      <c r="B15" s="1" t="s">
        <v>84</v>
      </c>
      <c r="D15" s="1">
        <v>11</v>
      </c>
      <c r="E15" s="1">
        <f t="shared" si="8"/>
        <v>11</v>
      </c>
      <c r="F15" s="1">
        <v>12</v>
      </c>
      <c r="G15" s="1">
        <f t="shared" si="9"/>
        <v>75047.134559999991</v>
      </c>
      <c r="H15" s="1">
        <f t="shared" si="10"/>
        <v>72795.720523199983</v>
      </c>
      <c r="I15" s="1">
        <f t="shared" si="11"/>
        <v>94634.436680159983</v>
      </c>
      <c r="J15" s="1">
        <v>96660.4</v>
      </c>
      <c r="K15" s="1">
        <v>96600</v>
      </c>
      <c r="L15" s="1">
        <f t="shared" si="12"/>
        <v>0</v>
      </c>
    </row>
    <row r="16" spans="1:26" ht="21" customHeight="1" x14ac:dyDescent="0.25">
      <c r="A16" s="1">
        <v>1026</v>
      </c>
      <c r="B16" s="1" t="s">
        <v>98</v>
      </c>
      <c r="C16" s="1">
        <v>5</v>
      </c>
      <c r="D16" s="1">
        <v>4</v>
      </c>
      <c r="E16" s="1">
        <f t="shared" si="8"/>
        <v>17</v>
      </c>
      <c r="F16" s="1">
        <v>4</v>
      </c>
      <c r="G16" s="1">
        <f t="shared" si="9"/>
        <v>348640.32371999999</v>
      </c>
      <c r="H16" s="1">
        <f t="shared" si="10"/>
        <v>338181.11400839995</v>
      </c>
      <c r="I16" s="1">
        <f t="shared" si="11"/>
        <v>439635.44821091997</v>
      </c>
      <c r="J16" s="1">
        <v>449047.3</v>
      </c>
      <c r="K16" s="1">
        <v>439600</v>
      </c>
      <c r="L16" s="1">
        <f t="shared" si="12"/>
        <v>7</v>
      </c>
      <c r="P16" s="1">
        <v>2</v>
      </c>
      <c r="Q16" s="1">
        <v>2</v>
      </c>
      <c r="S16" s="1">
        <v>1</v>
      </c>
      <c r="W16" s="1">
        <v>2</v>
      </c>
    </row>
    <row r="17" spans="1:25" ht="21" customHeight="1" x14ac:dyDescent="0.25">
      <c r="A17" s="1">
        <v>1027</v>
      </c>
      <c r="B17" s="1" t="s">
        <v>99</v>
      </c>
      <c r="C17" s="1">
        <v>5</v>
      </c>
      <c r="D17" s="1">
        <v>5</v>
      </c>
      <c r="E17" s="1">
        <f t="shared" si="8"/>
        <v>21</v>
      </c>
      <c r="F17" s="1">
        <v>4</v>
      </c>
      <c r="G17" s="1">
        <f t="shared" si="9"/>
        <v>348640.32371999999</v>
      </c>
      <c r="H17" s="1">
        <f t="shared" si="10"/>
        <v>338181.11400839995</v>
      </c>
      <c r="I17" s="1">
        <f t="shared" si="11"/>
        <v>439635.44821091997</v>
      </c>
      <c r="J17" s="1">
        <v>449047.3</v>
      </c>
      <c r="K17" s="1">
        <v>439600</v>
      </c>
      <c r="L17" s="1">
        <f t="shared" si="12"/>
        <v>4</v>
      </c>
      <c r="N17" s="1">
        <v>1</v>
      </c>
      <c r="O17" s="1">
        <v>2</v>
      </c>
      <c r="S17" s="1">
        <v>1</v>
      </c>
    </row>
    <row r="18" spans="1:25" ht="21" customHeight="1" x14ac:dyDescent="0.25">
      <c r="A18" s="1">
        <v>1030</v>
      </c>
      <c r="B18" s="1" t="s">
        <v>15</v>
      </c>
      <c r="D18" s="1">
        <v>10</v>
      </c>
      <c r="E18" s="1">
        <f t="shared" si="8"/>
        <v>10</v>
      </c>
      <c r="F18" s="1">
        <v>12</v>
      </c>
      <c r="G18" s="1">
        <f t="shared" si="9"/>
        <v>119009.3094</v>
      </c>
      <c r="H18" s="1">
        <f t="shared" si="10"/>
        <v>115439.030118</v>
      </c>
      <c r="I18" s="1">
        <f t="shared" si="11"/>
        <v>150070.73915340001</v>
      </c>
      <c r="J18" s="3">
        <v>153283.5</v>
      </c>
      <c r="K18" s="1">
        <v>150000</v>
      </c>
      <c r="L18" s="1">
        <f t="shared" si="12"/>
        <v>0</v>
      </c>
    </row>
    <row r="19" spans="1:25" ht="21" customHeight="1" x14ac:dyDescent="0.25">
      <c r="A19" s="1">
        <v>1031</v>
      </c>
      <c r="B19" s="1" t="s">
        <v>16</v>
      </c>
      <c r="D19" s="1">
        <v>10</v>
      </c>
      <c r="E19" s="1">
        <f t="shared" si="8"/>
        <v>7</v>
      </c>
      <c r="F19" s="1">
        <v>12</v>
      </c>
      <c r="G19" s="1">
        <f t="shared" si="9"/>
        <v>119009.3094</v>
      </c>
      <c r="H19" s="1">
        <f t="shared" si="10"/>
        <v>115439.030118</v>
      </c>
      <c r="I19" s="1">
        <f t="shared" si="11"/>
        <v>150070.73915340001</v>
      </c>
      <c r="J19" s="3">
        <v>153283.5</v>
      </c>
      <c r="K19" s="1">
        <v>150000</v>
      </c>
      <c r="L19" s="1">
        <f t="shared" si="12"/>
        <v>3</v>
      </c>
      <c r="P19" s="1">
        <v>3</v>
      </c>
    </row>
    <row r="20" spans="1:25" ht="21" customHeight="1" x14ac:dyDescent="0.25">
      <c r="A20" s="1">
        <v>1032</v>
      </c>
      <c r="B20" s="1" t="s">
        <v>13</v>
      </c>
      <c r="D20" s="1">
        <v>12</v>
      </c>
      <c r="E20" s="1">
        <f t="shared" si="8"/>
        <v>12</v>
      </c>
      <c r="F20" s="1">
        <v>12</v>
      </c>
      <c r="G20" s="1">
        <f t="shared" si="9"/>
        <v>58776.119759999994</v>
      </c>
      <c r="H20" s="1">
        <f t="shared" si="10"/>
        <v>57012.836167199996</v>
      </c>
      <c r="I20" s="1">
        <f t="shared" si="11"/>
        <v>74116.687017360004</v>
      </c>
      <c r="J20" s="3">
        <v>75703.399999999994</v>
      </c>
      <c r="K20" s="1">
        <v>75700</v>
      </c>
      <c r="L20" s="1">
        <f t="shared" si="12"/>
        <v>0</v>
      </c>
    </row>
    <row r="21" spans="1:25" ht="21" customHeight="1" x14ac:dyDescent="0.25">
      <c r="A21" s="1">
        <v>1033</v>
      </c>
      <c r="B21" s="1" t="s">
        <v>14</v>
      </c>
      <c r="D21" s="1">
        <v>10</v>
      </c>
      <c r="E21" s="1">
        <f t="shared" si="8"/>
        <v>10</v>
      </c>
      <c r="F21" s="1">
        <v>12</v>
      </c>
      <c r="G21" s="1">
        <f t="shared" si="9"/>
        <v>58776.119759999994</v>
      </c>
      <c r="H21" s="1">
        <f t="shared" si="10"/>
        <v>57012.836167199996</v>
      </c>
      <c r="I21" s="1">
        <f t="shared" si="11"/>
        <v>74116.687017360004</v>
      </c>
      <c r="J21" s="3">
        <v>75703.399999999994</v>
      </c>
      <c r="K21" s="1">
        <v>75700</v>
      </c>
      <c r="L21" s="1">
        <f t="shared" si="12"/>
        <v>0</v>
      </c>
    </row>
    <row r="22" spans="1:25" ht="21" customHeight="1" x14ac:dyDescent="0.25">
      <c r="A22" s="1">
        <v>1034</v>
      </c>
      <c r="B22" s="1" t="s">
        <v>102</v>
      </c>
      <c r="D22" s="1">
        <v>12</v>
      </c>
      <c r="E22" s="1">
        <f t="shared" si="8"/>
        <v>12</v>
      </c>
      <c r="F22" s="1">
        <v>12</v>
      </c>
      <c r="G22" s="1">
        <f t="shared" si="9"/>
        <v>68901.773279999994</v>
      </c>
      <c r="H22" s="1">
        <f t="shared" si="10"/>
        <v>66834.720081599997</v>
      </c>
      <c r="I22" s="1">
        <f t="shared" si="11"/>
        <v>86885.136106079997</v>
      </c>
      <c r="J22" s="3">
        <v>88745.2</v>
      </c>
      <c r="K22" s="1">
        <v>88700</v>
      </c>
      <c r="L22" s="1">
        <f t="shared" si="12"/>
        <v>0</v>
      </c>
    </row>
    <row r="23" spans="1:25" ht="21" customHeight="1" x14ac:dyDescent="0.25">
      <c r="A23" s="1">
        <v>1035</v>
      </c>
      <c r="B23" s="1" t="s">
        <v>103</v>
      </c>
      <c r="D23" s="1">
        <v>10</v>
      </c>
      <c r="E23" s="1">
        <f t="shared" si="8"/>
        <v>10</v>
      </c>
      <c r="F23" s="1">
        <v>12</v>
      </c>
      <c r="G23" s="1">
        <f t="shared" si="9"/>
        <v>93743.855879999988</v>
      </c>
      <c r="H23" s="1">
        <f t="shared" si="10"/>
        <v>90931.540203599987</v>
      </c>
      <c r="I23" s="1">
        <f t="shared" si="11"/>
        <v>118211.00226467999</v>
      </c>
      <c r="J23" s="3">
        <v>120741.7</v>
      </c>
      <c r="K23" s="1">
        <v>120700</v>
      </c>
      <c r="L23" s="1">
        <f t="shared" si="12"/>
        <v>0</v>
      </c>
    </row>
    <row r="24" spans="1:25" ht="21" customHeight="1" x14ac:dyDescent="0.25">
      <c r="A24" s="1">
        <v>1041</v>
      </c>
      <c r="B24" s="1" t="s">
        <v>17</v>
      </c>
      <c r="C24" s="1">
        <v>2</v>
      </c>
      <c r="D24" s="1">
        <v>14</v>
      </c>
      <c r="E24" s="1">
        <f t="shared" si="8"/>
        <v>36</v>
      </c>
      <c r="F24" s="1">
        <v>12</v>
      </c>
      <c r="G24" s="1">
        <f t="shared" si="9"/>
        <v>67739.347200000004</v>
      </c>
      <c r="H24" s="1">
        <f t="shared" si="10"/>
        <v>65707.166784000001</v>
      </c>
      <c r="I24" s="1">
        <f t="shared" si="11"/>
        <v>85419.316819200001</v>
      </c>
      <c r="J24" s="1">
        <v>87248</v>
      </c>
      <c r="K24" s="1">
        <v>87200</v>
      </c>
      <c r="L24" s="1">
        <f t="shared" si="12"/>
        <v>2</v>
      </c>
      <c r="W24" s="1">
        <v>2</v>
      </c>
    </row>
    <row r="25" spans="1:25" ht="21" customHeight="1" x14ac:dyDescent="0.25">
      <c r="A25" s="1">
        <v>1046</v>
      </c>
      <c r="B25" s="1" t="s">
        <v>18</v>
      </c>
      <c r="D25" s="1">
        <v>8</v>
      </c>
      <c r="E25" s="1">
        <f t="shared" si="8"/>
        <v>7</v>
      </c>
      <c r="F25" s="1">
        <v>12</v>
      </c>
      <c r="G25" s="1">
        <f t="shared" si="9"/>
        <v>87045.46488</v>
      </c>
      <c r="H25" s="1">
        <f t="shared" si="10"/>
        <v>84434.100933599999</v>
      </c>
      <c r="I25" s="1">
        <f t="shared" si="11"/>
        <v>109764.33121368001</v>
      </c>
      <c r="J25" s="1">
        <v>112114.2</v>
      </c>
      <c r="K25" s="1">
        <v>112100</v>
      </c>
      <c r="L25" s="1">
        <f t="shared" si="12"/>
        <v>1</v>
      </c>
      <c r="N25" s="1">
        <v>1</v>
      </c>
    </row>
    <row r="26" spans="1:25" ht="21" customHeight="1" x14ac:dyDescent="0.25">
      <c r="A26" s="1">
        <v>1048</v>
      </c>
      <c r="B26" s="1" t="s">
        <v>19</v>
      </c>
      <c r="C26" s="1">
        <v>2</v>
      </c>
      <c r="D26" s="1">
        <v>10</v>
      </c>
      <c r="E26" s="1">
        <f t="shared" si="8"/>
        <v>32</v>
      </c>
      <c r="F26" s="1">
        <v>12</v>
      </c>
      <c r="G26" s="1">
        <f t="shared" si="9"/>
        <v>99218.485199999996</v>
      </c>
      <c r="H26" s="1">
        <f t="shared" si="10"/>
        <v>96241.930643999993</v>
      </c>
      <c r="I26" s="1">
        <f t="shared" si="11"/>
        <v>125114.50983719999</v>
      </c>
      <c r="J26" s="1">
        <v>127793</v>
      </c>
      <c r="K26" s="1">
        <v>125100</v>
      </c>
      <c r="L26" s="1">
        <f t="shared" si="12"/>
        <v>2</v>
      </c>
      <c r="W26" s="1">
        <v>1</v>
      </c>
      <c r="Y26" s="1">
        <v>1</v>
      </c>
    </row>
    <row r="27" spans="1:25" ht="21" customHeight="1" x14ac:dyDescent="0.25">
      <c r="A27" s="1">
        <v>1049</v>
      </c>
      <c r="B27" s="1" t="s">
        <v>20</v>
      </c>
      <c r="C27" s="1">
        <v>3</v>
      </c>
      <c r="D27" s="1">
        <v>0</v>
      </c>
      <c r="E27" s="1">
        <f t="shared" si="8"/>
        <v>27</v>
      </c>
      <c r="F27" s="1">
        <v>9</v>
      </c>
      <c r="G27" s="1">
        <f t="shared" si="9"/>
        <v>115483.44408</v>
      </c>
      <c r="H27" s="1">
        <f t="shared" si="10"/>
        <v>112018.94075759999</v>
      </c>
      <c r="I27" s="1">
        <f t="shared" si="11"/>
        <v>145624.62298488</v>
      </c>
      <c r="J27" s="1">
        <v>148742.20000000001</v>
      </c>
      <c r="K27" s="1">
        <v>145600</v>
      </c>
      <c r="L27" s="1">
        <f t="shared" si="12"/>
        <v>0</v>
      </c>
    </row>
    <row r="28" spans="1:25" ht="21" customHeight="1" x14ac:dyDescent="0.25">
      <c r="A28" s="1">
        <v>1050</v>
      </c>
      <c r="B28" s="1" t="s">
        <v>21</v>
      </c>
      <c r="D28" s="1">
        <v>8</v>
      </c>
      <c r="E28" s="1">
        <f t="shared" si="8"/>
        <v>2</v>
      </c>
      <c r="F28" s="1">
        <v>12</v>
      </c>
      <c r="G28" s="1">
        <f t="shared" si="9"/>
        <v>68165.202600000004</v>
      </c>
      <c r="H28" s="1">
        <f t="shared" si="10"/>
        <v>66120.246522000001</v>
      </c>
      <c r="I28" s="1">
        <f t="shared" si="11"/>
        <v>85956.320478599999</v>
      </c>
      <c r="J28" s="3">
        <v>87796.5</v>
      </c>
      <c r="K28" s="1">
        <v>87800</v>
      </c>
      <c r="L28" s="1">
        <f t="shared" si="12"/>
        <v>6</v>
      </c>
      <c r="P28" s="1">
        <v>2</v>
      </c>
      <c r="Q28" s="1">
        <v>4</v>
      </c>
    </row>
    <row r="29" spans="1:25" ht="21" customHeight="1" x14ac:dyDescent="0.25">
      <c r="A29" s="1">
        <v>1051</v>
      </c>
      <c r="B29" s="1" t="s">
        <v>22</v>
      </c>
      <c r="D29" s="1">
        <v>0</v>
      </c>
      <c r="E29" s="1">
        <f t="shared" si="8"/>
        <v>0</v>
      </c>
      <c r="F29" s="1">
        <v>12</v>
      </c>
      <c r="G29" s="1">
        <f t="shared" si="9"/>
        <v>50294.027399999999</v>
      </c>
      <c r="H29" s="1">
        <f t="shared" si="10"/>
        <v>48785.206577999998</v>
      </c>
      <c r="I29" s="1">
        <f t="shared" si="11"/>
        <v>63420.768551399997</v>
      </c>
      <c r="J29" s="1">
        <v>64778.5</v>
      </c>
      <c r="K29" s="1">
        <v>97000</v>
      </c>
      <c r="L29" s="1">
        <f t="shared" si="12"/>
        <v>0</v>
      </c>
    </row>
    <row r="30" spans="1:25" ht="21" customHeight="1" x14ac:dyDescent="0.25">
      <c r="A30" s="1">
        <v>1057</v>
      </c>
      <c r="B30" s="1" t="s">
        <v>23</v>
      </c>
      <c r="D30" s="1">
        <v>11</v>
      </c>
      <c r="E30" s="1">
        <f t="shared" si="8"/>
        <v>7</v>
      </c>
      <c r="F30" s="1">
        <v>12</v>
      </c>
      <c r="G30" s="1">
        <f t="shared" si="9"/>
        <v>81264.079920000004</v>
      </c>
      <c r="H30" s="1">
        <f t="shared" si="10"/>
        <v>78826.157522399997</v>
      </c>
      <c r="I30" s="1">
        <f t="shared" si="11"/>
        <v>102474.00477912</v>
      </c>
      <c r="J30" s="1">
        <v>104667.8</v>
      </c>
      <c r="K30" s="1">
        <v>104600</v>
      </c>
      <c r="L30" s="1">
        <f t="shared" si="12"/>
        <v>4</v>
      </c>
      <c r="Q30" s="1">
        <v>2</v>
      </c>
      <c r="W30" s="1">
        <v>2</v>
      </c>
    </row>
    <row r="31" spans="1:25" ht="21" customHeight="1" x14ac:dyDescent="0.25">
      <c r="A31" s="1">
        <v>1058</v>
      </c>
      <c r="B31" s="1" t="s">
        <v>24</v>
      </c>
      <c r="C31" s="1">
        <v>1</v>
      </c>
      <c r="D31" s="1">
        <v>5</v>
      </c>
      <c r="E31" s="1">
        <f t="shared" si="8"/>
        <v>12</v>
      </c>
      <c r="F31" s="1">
        <v>12</v>
      </c>
      <c r="G31" s="1">
        <f t="shared" si="9"/>
        <v>136311.07284000001</v>
      </c>
      <c r="H31" s="1">
        <f t="shared" si="10"/>
        <v>132221.7406548</v>
      </c>
      <c r="I31" s="1">
        <f t="shared" si="11"/>
        <v>171888.26285124</v>
      </c>
      <c r="J31" s="1">
        <v>175568.1</v>
      </c>
      <c r="K31" s="1">
        <v>171800</v>
      </c>
      <c r="L31" s="1">
        <f t="shared" si="12"/>
        <v>5</v>
      </c>
      <c r="O31" s="1">
        <v>5</v>
      </c>
    </row>
    <row r="32" spans="1:25" ht="21" customHeight="1" x14ac:dyDescent="0.25">
      <c r="A32" s="1">
        <v>1059</v>
      </c>
      <c r="B32" s="1" t="s">
        <v>25</v>
      </c>
      <c r="D32" s="1">
        <v>0</v>
      </c>
      <c r="E32" s="1">
        <f t="shared" si="8"/>
        <v>0</v>
      </c>
      <c r="F32" s="1">
        <v>12</v>
      </c>
      <c r="G32" s="1">
        <f t="shared" si="9"/>
        <v>44678.714399999997</v>
      </c>
      <c r="H32" s="1">
        <f t="shared" si="10"/>
        <v>43338.352967999999</v>
      </c>
      <c r="I32" s="1">
        <f t="shared" si="11"/>
        <v>56339.858858400003</v>
      </c>
      <c r="J32" s="1">
        <v>57546</v>
      </c>
      <c r="K32" s="1">
        <v>56300</v>
      </c>
      <c r="L32" s="1">
        <f t="shared" si="12"/>
        <v>0</v>
      </c>
    </row>
    <row r="33" spans="1:23" ht="21" customHeight="1" x14ac:dyDescent="0.25">
      <c r="A33" s="1">
        <v>1060</v>
      </c>
      <c r="B33" s="1" t="s">
        <v>26</v>
      </c>
      <c r="D33" s="1">
        <v>15</v>
      </c>
      <c r="E33" s="1">
        <f t="shared" si="8"/>
        <v>14</v>
      </c>
      <c r="F33" s="1">
        <v>12</v>
      </c>
      <c r="G33" s="1">
        <f t="shared" si="9"/>
        <v>68782.0524</v>
      </c>
      <c r="H33" s="1">
        <f t="shared" si="10"/>
        <v>66718.590828</v>
      </c>
      <c r="I33" s="1">
        <f t="shared" si="11"/>
        <v>86734.168076400005</v>
      </c>
      <c r="J33" s="1">
        <v>88591</v>
      </c>
      <c r="K33" s="1">
        <v>88600</v>
      </c>
      <c r="L33" s="1">
        <f t="shared" si="12"/>
        <v>1</v>
      </c>
      <c r="W33" s="1">
        <v>1</v>
      </c>
    </row>
    <row r="34" spans="1:23" ht="21" customHeight="1" x14ac:dyDescent="0.25">
      <c r="A34" s="1">
        <v>1061</v>
      </c>
      <c r="B34" s="1" t="s">
        <v>27</v>
      </c>
      <c r="C34" s="1">
        <v>2</v>
      </c>
      <c r="D34" s="1">
        <v>8</v>
      </c>
      <c r="E34" s="1">
        <f t="shared" si="8"/>
        <v>29</v>
      </c>
      <c r="F34" s="1">
        <v>12</v>
      </c>
      <c r="G34" s="1">
        <f t="shared" si="9"/>
        <v>157098.94991999998</v>
      </c>
      <c r="H34" s="1">
        <f t="shared" si="10"/>
        <v>152385.98142239999</v>
      </c>
      <c r="I34" s="1">
        <f t="shared" si="11"/>
        <v>198101.77584911999</v>
      </c>
      <c r="J34" s="1">
        <v>202342.8</v>
      </c>
      <c r="K34" s="1">
        <v>198100</v>
      </c>
      <c r="L34" s="1">
        <f t="shared" si="12"/>
        <v>3</v>
      </c>
      <c r="P34" s="1">
        <v>3</v>
      </c>
    </row>
    <row r="35" spans="1:23" ht="21" customHeight="1" x14ac:dyDescent="0.25">
      <c r="A35" s="1">
        <v>1064</v>
      </c>
      <c r="B35" s="1" t="s">
        <v>28</v>
      </c>
      <c r="D35" s="1">
        <v>7</v>
      </c>
      <c r="E35" s="1">
        <f t="shared" si="8"/>
        <v>7</v>
      </c>
      <c r="F35" s="1">
        <v>12</v>
      </c>
      <c r="G35" s="1">
        <f t="shared" si="9"/>
        <v>29345.280239999996</v>
      </c>
      <c r="H35" s="1">
        <f t="shared" si="10"/>
        <v>28464.921832799995</v>
      </c>
      <c r="I35" s="1">
        <f t="shared" si="11"/>
        <v>37004.398382639993</v>
      </c>
      <c r="J35" s="1">
        <v>37796.6</v>
      </c>
      <c r="K35" s="1">
        <v>37800</v>
      </c>
      <c r="L35" s="1">
        <f t="shared" si="12"/>
        <v>0</v>
      </c>
    </row>
    <row r="36" spans="1:23" ht="21" customHeight="1" x14ac:dyDescent="0.25">
      <c r="A36" s="1">
        <v>1065</v>
      </c>
      <c r="B36" s="1" t="s">
        <v>29</v>
      </c>
      <c r="D36" s="1">
        <v>5</v>
      </c>
      <c r="E36" s="1">
        <f t="shared" si="8"/>
        <v>-1</v>
      </c>
      <c r="F36" s="1">
        <v>6</v>
      </c>
      <c r="G36" s="1">
        <f t="shared" si="9"/>
        <v>53997.921240000003</v>
      </c>
      <c r="H36" s="1">
        <f t="shared" si="10"/>
        <v>52377.983602799999</v>
      </c>
      <c r="I36" s="1">
        <f t="shared" si="11"/>
        <v>68091.378683639996</v>
      </c>
      <c r="J36" s="3">
        <v>69549.100000000006</v>
      </c>
      <c r="K36" s="1">
        <v>69500</v>
      </c>
      <c r="L36" s="1">
        <f t="shared" si="12"/>
        <v>6</v>
      </c>
      <c r="N36" s="1">
        <v>1</v>
      </c>
      <c r="O36" s="1">
        <v>1</v>
      </c>
      <c r="W36" s="1">
        <v>4</v>
      </c>
    </row>
    <row r="37" spans="1:23" ht="21" customHeight="1" x14ac:dyDescent="0.25">
      <c r="A37" s="1">
        <v>1066</v>
      </c>
      <c r="B37" s="1" t="s">
        <v>30</v>
      </c>
      <c r="D37" s="1">
        <v>9</v>
      </c>
      <c r="E37" s="1">
        <f t="shared" si="8"/>
        <v>8</v>
      </c>
      <c r="F37" s="1">
        <v>4</v>
      </c>
      <c r="G37" s="1">
        <f t="shared" si="9"/>
        <v>131620.7628</v>
      </c>
      <c r="H37" s="1">
        <f t="shared" si="10"/>
        <v>127672.139916</v>
      </c>
      <c r="I37" s="1">
        <f t="shared" si="11"/>
        <v>165973.78189080002</v>
      </c>
      <c r="J37" s="1">
        <v>169527</v>
      </c>
      <c r="K37" s="1">
        <v>165900</v>
      </c>
      <c r="L37" s="1">
        <f t="shared" si="12"/>
        <v>1</v>
      </c>
      <c r="T37" s="1">
        <v>1</v>
      </c>
    </row>
    <row r="38" spans="1:23" ht="21" customHeight="1" x14ac:dyDescent="0.25">
      <c r="A38" s="1">
        <v>1068</v>
      </c>
      <c r="B38" s="1" t="s">
        <v>77</v>
      </c>
      <c r="D38" s="1">
        <v>0</v>
      </c>
      <c r="E38" s="1">
        <f t="shared" si="8"/>
        <v>-1</v>
      </c>
      <c r="F38" s="1">
        <v>12</v>
      </c>
      <c r="G38" s="1">
        <f t="shared" si="9"/>
        <v>107185.902</v>
      </c>
      <c r="H38" s="1">
        <f t="shared" si="10"/>
        <v>103970.32494000001</v>
      </c>
      <c r="I38" s="1">
        <f t="shared" si="11"/>
        <v>135161.422422</v>
      </c>
      <c r="J38" s="1">
        <v>138055</v>
      </c>
      <c r="K38" s="1">
        <v>120000</v>
      </c>
      <c r="L38" s="1">
        <f t="shared" si="12"/>
        <v>1</v>
      </c>
      <c r="P38" s="1">
        <v>1</v>
      </c>
    </row>
    <row r="39" spans="1:23" ht="21" customHeight="1" x14ac:dyDescent="0.25">
      <c r="A39" s="1">
        <v>1070</v>
      </c>
      <c r="B39" s="1" t="s">
        <v>31</v>
      </c>
      <c r="D39" s="1">
        <v>3</v>
      </c>
      <c r="E39" s="1">
        <f t="shared" si="8"/>
        <v>0</v>
      </c>
      <c r="F39" s="1">
        <v>12</v>
      </c>
      <c r="G39" s="1">
        <f t="shared" si="9"/>
        <v>64958.748240000001</v>
      </c>
      <c r="H39" s="1">
        <f t="shared" si="10"/>
        <v>63009.985792799998</v>
      </c>
      <c r="I39" s="1">
        <f t="shared" si="11"/>
        <v>81912.981530639998</v>
      </c>
      <c r="J39" s="1">
        <v>83666.600000000006</v>
      </c>
      <c r="K39" s="1">
        <v>83600</v>
      </c>
      <c r="L39" s="1">
        <f t="shared" si="12"/>
        <v>3</v>
      </c>
      <c r="Q39" s="1">
        <v>3</v>
      </c>
    </row>
    <row r="40" spans="1:23" ht="21" customHeight="1" x14ac:dyDescent="0.25">
      <c r="A40" s="1">
        <v>1071</v>
      </c>
      <c r="B40" s="1" t="s">
        <v>32</v>
      </c>
      <c r="D40" s="1">
        <v>12</v>
      </c>
      <c r="E40" s="1">
        <f t="shared" si="8"/>
        <v>10</v>
      </c>
      <c r="F40" s="1">
        <v>12</v>
      </c>
      <c r="G40" s="1">
        <f t="shared" si="9"/>
        <v>140135.30868000002</v>
      </c>
      <c r="H40" s="1">
        <f t="shared" si="10"/>
        <v>135931.2494196</v>
      </c>
      <c r="I40" s="1">
        <f t="shared" si="11"/>
        <v>176710.62424548002</v>
      </c>
      <c r="J40" s="3">
        <v>180493.7</v>
      </c>
      <c r="K40" s="1">
        <v>180400</v>
      </c>
      <c r="L40" s="1">
        <f t="shared" si="12"/>
        <v>2</v>
      </c>
      <c r="P40" s="1">
        <v>1</v>
      </c>
      <c r="W40" s="1">
        <v>1</v>
      </c>
    </row>
    <row r="41" spans="1:23" ht="21" customHeight="1" x14ac:dyDescent="0.25">
      <c r="A41" s="1">
        <v>1072</v>
      </c>
      <c r="B41" s="1" t="s">
        <v>33</v>
      </c>
      <c r="D41" s="1">
        <v>4</v>
      </c>
      <c r="E41" s="1">
        <f t="shared" si="8"/>
        <v>4</v>
      </c>
      <c r="F41" s="1">
        <v>12</v>
      </c>
      <c r="G41" s="1">
        <f t="shared" si="9"/>
        <v>106724.72039999999</v>
      </c>
      <c r="H41" s="1">
        <f t="shared" si="10"/>
        <v>103522.97878799999</v>
      </c>
      <c r="I41" s="1">
        <f t="shared" si="11"/>
        <v>134579.8724244</v>
      </c>
      <c r="J41" s="1">
        <v>137461</v>
      </c>
      <c r="K41" s="1">
        <v>137400</v>
      </c>
      <c r="L41" s="1">
        <f t="shared" si="12"/>
        <v>0</v>
      </c>
    </row>
    <row r="42" spans="1:23" ht="21" customHeight="1" x14ac:dyDescent="0.25">
      <c r="A42" s="1">
        <v>1079</v>
      </c>
      <c r="B42" s="1" t="s">
        <v>78</v>
      </c>
      <c r="D42" s="1">
        <v>11</v>
      </c>
      <c r="E42" s="1">
        <f t="shared" si="8"/>
        <v>10</v>
      </c>
      <c r="F42" s="1">
        <v>9</v>
      </c>
      <c r="G42" s="1">
        <f t="shared" si="9"/>
        <v>161317.28639999998</v>
      </c>
      <c r="H42" s="1">
        <f t="shared" si="10"/>
        <v>156477.76780799998</v>
      </c>
      <c r="I42" s="1">
        <f t="shared" si="11"/>
        <v>203421.09815039998</v>
      </c>
      <c r="J42" s="1">
        <v>207776</v>
      </c>
      <c r="K42" s="1">
        <v>207700</v>
      </c>
      <c r="L42" s="1">
        <f t="shared" si="12"/>
        <v>1</v>
      </c>
      <c r="P42" s="1">
        <v>1</v>
      </c>
    </row>
    <row r="43" spans="1:23" ht="21" customHeight="1" x14ac:dyDescent="0.25">
      <c r="A43" s="1">
        <v>1080</v>
      </c>
      <c r="B43" s="1" t="s">
        <v>117</v>
      </c>
      <c r="C43" s="1">
        <v>2</v>
      </c>
      <c r="D43" s="1">
        <v>0</v>
      </c>
      <c r="E43" s="1">
        <f t="shared" si="8"/>
        <v>12</v>
      </c>
      <c r="F43" s="1">
        <v>6</v>
      </c>
      <c r="G43" s="1">
        <f t="shared" si="9"/>
        <v>127996.21704</v>
      </c>
      <c r="H43" s="1">
        <f t="shared" si="10"/>
        <v>124156.3305288</v>
      </c>
      <c r="I43" s="1">
        <f t="shared" si="11"/>
        <v>161403.22968744001</v>
      </c>
      <c r="J43" s="1">
        <v>164858.6</v>
      </c>
      <c r="K43" s="1">
        <v>161400</v>
      </c>
      <c r="L43" s="1">
        <f t="shared" si="12"/>
        <v>0</v>
      </c>
    </row>
    <row r="44" spans="1:23" ht="21" customHeight="1" x14ac:dyDescent="0.25">
      <c r="A44" s="1">
        <v>1082</v>
      </c>
      <c r="B44" s="1" t="s">
        <v>127</v>
      </c>
      <c r="C44" s="1">
        <v>25</v>
      </c>
      <c r="D44" s="1">
        <v>0</v>
      </c>
      <c r="E44" s="1">
        <f t="shared" si="8"/>
        <v>89</v>
      </c>
      <c r="F44" s="1">
        <v>4</v>
      </c>
      <c r="G44" s="1">
        <f t="shared" si="9"/>
        <v>547355.94407999993</v>
      </c>
      <c r="H44" s="1">
        <f t="shared" si="10"/>
        <v>530935.26575759996</v>
      </c>
      <c r="I44" s="1">
        <f t="shared" si="11"/>
        <v>690215.84548488003</v>
      </c>
      <c r="J44" s="1">
        <v>704992.2</v>
      </c>
      <c r="K44" s="1">
        <v>690200</v>
      </c>
      <c r="L44" s="1">
        <f t="shared" si="12"/>
        <v>11</v>
      </c>
      <c r="P44" s="1">
        <v>2</v>
      </c>
      <c r="Q44" s="1">
        <v>3</v>
      </c>
      <c r="T44" s="1">
        <v>1</v>
      </c>
      <c r="U44" s="1">
        <v>1</v>
      </c>
      <c r="W44" s="1">
        <v>4</v>
      </c>
    </row>
    <row r="45" spans="1:23" ht="21" customHeight="1" x14ac:dyDescent="0.25">
      <c r="A45" s="1">
        <v>1084</v>
      </c>
      <c r="B45" s="1" t="s">
        <v>79</v>
      </c>
      <c r="D45" s="1">
        <v>0</v>
      </c>
      <c r="E45" s="1">
        <f t="shared" si="8"/>
        <v>0</v>
      </c>
      <c r="F45" s="1">
        <v>6</v>
      </c>
      <c r="G45" s="1">
        <f t="shared" si="9"/>
        <v>107803.37291999999</v>
      </c>
      <c r="H45" s="1">
        <f t="shared" si="10"/>
        <v>104569.2717324</v>
      </c>
      <c r="I45" s="1">
        <f t="shared" si="11"/>
        <v>135940.05325212001</v>
      </c>
      <c r="J45" s="1">
        <v>138850.29999999999</v>
      </c>
      <c r="K45" s="1">
        <v>135900</v>
      </c>
      <c r="L45" s="1">
        <f t="shared" si="12"/>
        <v>0</v>
      </c>
    </row>
    <row r="46" spans="1:23" ht="21" customHeight="1" x14ac:dyDescent="0.25">
      <c r="A46" s="1">
        <v>1085</v>
      </c>
      <c r="B46" s="1" t="s">
        <v>81</v>
      </c>
      <c r="D46" s="1">
        <v>0</v>
      </c>
      <c r="E46" s="1">
        <f t="shared" si="8"/>
        <v>0</v>
      </c>
      <c r="F46" s="1">
        <v>6</v>
      </c>
      <c r="G46" s="1">
        <f t="shared" si="9"/>
        <v>278941.11</v>
      </c>
      <c r="H46" s="1">
        <f t="shared" si="10"/>
        <v>270572.87669999996</v>
      </c>
      <c r="I46" s="1">
        <f t="shared" si="11"/>
        <v>351744.73970999999</v>
      </c>
      <c r="J46" s="1">
        <v>359275</v>
      </c>
      <c r="K46" s="1">
        <v>253900</v>
      </c>
      <c r="L46" s="1">
        <f t="shared" si="12"/>
        <v>0</v>
      </c>
    </row>
    <row r="47" spans="1:23" ht="21" customHeight="1" x14ac:dyDescent="0.25">
      <c r="A47" s="1">
        <v>1111</v>
      </c>
      <c r="B47" s="1" t="s">
        <v>34</v>
      </c>
      <c r="D47" s="1">
        <v>27</v>
      </c>
      <c r="E47" s="1">
        <f t="shared" si="8"/>
        <v>26</v>
      </c>
      <c r="F47" s="1">
        <v>50</v>
      </c>
      <c r="G47" s="1">
        <f t="shared" si="9"/>
        <v>35326.199999999997</v>
      </c>
      <c r="H47" s="1">
        <f t="shared" si="10"/>
        <v>34266.413999999997</v>
      </c>
      <c r="I47" s="1">
        <f t="shared" si="11"/>
        <v>44546.338199999998</v>
      </c>
      <c r="J47" s="1">
        <v>45500</v>
      </c>
      <c r="K47" s="1">
        <v>45500</v>
      </c>
      <c r="L47" s="1">
        <f t="shared" si="12"/>
        <v>1</v>
      </c>
      <c r="S47" s="1">
        <v>1</v>
      </c>
    </row>
    <row r="48" spans="1:23" ht="21" customHeight="1" x14ac:dyDescent="0.25">
      <c r="A48" s="1">
        <v>1112</v>
      </c>
      <c r="B48" s="1" t="s">
        <v>35</v>
      </c>
      <c r="C48" s="1">
        <v>1</v>
      </c>
      <c r="D48" s="1">
        <v>0</v>
      </c>
      <c r="E48" s="1">
        <f t="shared" si="8"/>
        <v>40</v>
      </c>
      <c r="F48" s="1">
        <v>40</v>
      </c>
      <c r="G48" s="1">
        <f t="shared" si="9"/>
        <v>60559.199999999997</v>
      </c>
      <c r="H48" s="1">
        <f t="shared" si="10"/>
        <v>58742.423999999999</v>
      </c>
      <c r="I48" s="1">
        <f t="shared" si="11"/>
        <v>76365.151200000008</v>
      </c>
      <c r="J48" s="1">
        <v>78000</v>
      </c>
      <c r="K48" s="1">
        <v>70200</v>
      </c>
      <c r="L48" s="1">
        <f t="shared" si="12"/>
        <v>0</v>
      </c>
    </row>
    <row r="49" spans="1:22" ht="21" customHeight="1" x14ac:dyDescent="0.25">
      <c r="A49" s="1">
        <v>1113</v>
      </c>
      <c r="B49" s="1" t="s">
        <v>36</v>
      </c>
      <c r="D49" s="1">
        <v>0</v>
      </c>
      <c r="E49" s="1">
        <f t="shared" si="8"/>
        <v>0</v>
      </c>
      <c r="F49" s="1">
        <v>36</v>
      </c>
      <c r="G49" s="1">
        <f t="shared" si="9"/>
        <v>33385.199999999997</v>
      </c>
      <c r="H49" s="1">
        <f t="shared" si="10"/>
        <v>32383.643999999997</v>
      </c>
      <c r="I49" s="1">
        <f t="shared" si="11"/>
        <v>42098.737199999996</v>
      </c>
      <c r="J49" s="1">
        <v>43000</v>
      </c>
      <c r="K49" s="1">
        <v>48000</v>
      </c>
      <c r="L49" s="1">
        <f t="shared" si="12"/>
        <v>0</v>
      </c>
    </row>
    <row r="50" spans="1:22" ht="21" customHeight="1" x14ac:dyDescent="0.25">
      <c r="A50" s="1">
        <v>1114</v>
      </c>
      <c r="B50" s="1" t="s">
        <v>37</v>
      </c>
      <c r="D50" s="1">
        <v>0</v>
      </c>
      <c r="E50" s="1">
        <f t="shared" si="8"/>
        <v>0</v>
      </c>
      <c r="F50" s="1">
        <v>40</v>
      </c>
      <c r="G50" s="1">
        <f t="shared" si="9"/>
        <v>69876</v>
      </c>
      <c r="H50" s="1">
        <f t="shared" si="10"/>
        <v>67779.72</v>
      </c>
      <c r="I50" s="1">
        <f t="shared" si="11"/>
        <v>88113.635999999999</v>
      </c>
      <c r="J50" s="1">
        <v>90000</v>
      </c>
      <c r="K50" s="1">
        <v>90000</v>
      </c>
      <c r="L50" s="1">
        <f t="shared" si="12"/>
        <v>0</v>
      </c>
    </row>
    <row r="51" spans="1:22" ht="21" customHeight="1" x14ac:dyDescent="0.25">
      <c r="A51" s="1">
        <v>1115</v>
      </c>
      <c r="B51" s="1" t="s">
        <v>38</v>
      </c>
      <c r="D51" s="1">
        <v>5</v>
      </c>
      <c r="E51" s="1">
        <f t="shared" si="8"/>
        <v>5</v>
      </c>
      <c r="F51" s="1">
        <v>15</v>
      </c>
      <c r="G51" s="1">
        <f t="shared" si="9"/>
        <v>115683.59999999999</v>
      </c>
      <c r="H51" s="1">
        <f t="shared" si="10"/>
        <v>112213.09199999999</v>
      </c>
      <c r="I51" s="1">
        <f t="shared" si="11"/>
        <v>145877.0196</v>
      </c>
      <c r="J51" s="1">
        <v>149000</v>
      </c>
      <c r="K51" s="1">
        <v>149000</v>
      </c>
      <c r="L51" s="1">
        <f t="shared" si="12"/>
        <v>0</v>
      </c>
    </row>
    <row r="52" spans="1:22" ht="21" customHeight="1" x14ac:dyDescent="0.25">
      <c r="A52" s="1">
        <v>1117</v>
      </c>
      <c r="B52" s="1" t="s">
        <v>39</v>
      </c>
      <c r="D52" s="1">
        <v>22</v>
      </c>
      <c r="E52" s="1">
        <f t="shared" si="8"/>
        <v>22</v>
      </c>
      <c r="F52" s="1">
        <v>24</v>
      </c>
      <c r="G52" s="1">
        <f t="shared" si="9"/>
        <v>106366.8</v>
      </c>
      <c r="H52" s="1">
        <f t="shared" si="10"/>
        <v>103175.796</v>
      </c>
      <c r="I52" s="1">
        <f t="shared" si="11"/>
        <v>134128.53479999999</v>
      </c>
      <c r="J52" s="1">
        <v>137000</v>
      </c>
      <c r="K52" s="1">
        <v>137000</v>
      </c>
      <c r="L52" s="1">
        <f t="shared" si="12"/>
        <v>0</v>
      </c>
    </row>
    <row r="53" spans="1:22" ht="21" customHeight="1" x14ac:dyDescent="0.25">
      <c r="A53" s="1">
        <v>1118</v>
      </c>
      <c r="B53" s="1" t="s">
        <v>40</v>
      </c>
      <c r="D53" s="1">
        <v>7</v>
      </c>
      <c r="E53" s="1">
        <f t="shared" si="8"/>
        <v>7</v>
      </c>
      <c r="F53" s="1">
        <v>24</v>
      </c>
      <c r="G53" s="1">
        <f t="shared" si="9"/>
        <v>106366.8</v>
      </c>
      <c r="H53" s="1">
        <f t="shared" si="10"/>
        <v>103175.796</v>
      </c>
      <c r="I53" s="1">
        <f t="shared" si="11"/>
        <v>134128.53479999999</v>
      </c>
      <c r="J53" s="1">
        <v>137000</v>
      </c>
      <c r="K53" s="1">
        <v>137000</v>
      </c>
      <c r="L53" s="1">
        <f t="shared" si="12"/>
        <v>0</v>
      </c>
    </row>
    <row r="54" spans="1:22" ht="21" customHeight="1" x14ac:dyDescent="0.25">
      <c r="A54" s="1">
        <v>1119</v>
      </c>
      <c r="B54" s="1" t="s">
        <v>41</v>
      </c>
      <c r="D54" s="1">
        <v>11</v>
      </c>
      <c r="E54" s="1">
        <f t="shared" si="8"/>
        <v>10</v>
      </c>
      <c r="F54" s="1">
        <v>24</v>
      </c>
      <c r="G54" s="1">
        <f t="shared" si="9"/>
        <v>106366.8</v>
      </c>
      <c r="H54" s="1">
        <f t="shared" si="10"/>
        <v>103175.796</v>
      </c>
      <c r="I54" s="1">
        <f t="shared" si="11"/>
        <v>134128.53479999999</v>
      </c>
      <c r="J54" s="1">
        <v>137000</v>
      </c>
      <c r="K54" s="1">
        <v>137000</v>
      </c>
      <c r="L54" s="1">
        <f t="shared" si="12"/>
        <v>1</v>
      </c>
      <c r="S54" s="1">
        <v>1</v>
      </c>
    </row>
    <row r="55" spans="1:22" ht="21" customHeight="1" x14ac:dyDescent="0.25">
      <c r="A55" s="1">
        <v>1120</v>
      </c>
      <c r="B55" s="1" t="s">
        <v>42</v>
      </c>
      <c r="D55" s="1">
        <v>13</v>
      </c>
      <c r="E55" s="1">
        <f t="shared" si="8"/>
        <v>13</v>
      </c>
      <c r="F55" s="1">
        <v>24</v>
      </c>
      <c r="G55" s="1">
        <f t="shared" si="9"/>
        <v>170808</v>
      </c>
      <c r="H55" s="1">
        <f t="shared" si="10"/>
        <v>165683.76</v>
      </c>
      <c r="I55" s="1">
        <f t="shared" si="11"/>
        <v>215388.88800000001</v>
      </c>
      <c r="J55" s="1">
        <v>220000</v>
      </c>
      <c r="K55" s="1">
        <v>220000</v>
      </c>
      <c r="L55" s="1">
        <f t="shared" si="12"/>
        <v>0</v>
      </c>
    </row>
    <row r="56" spans="1:22" ht="21" customHeight="1" x14ac:dyDescent="0.25">
      <c r="A56" s="1">
        <v>1122</v>
      </c>
      <c r="B56" s="1" t="s">
        <v>44</v>
      </c>
      <c r="D56" s="1">
        <v>14</v>
      </c>
      <c r="E56" s="1">
        <f t="shared" si="8"/>
        <v>14</v>
      </c>
      <c r="F56" s="1">
        <v>25</v>
      </c>
      <c r="G56" s="1">
        <f t="shared" si="9"/>
        <v>93168</v>
      </c>
      <c r="H56" s="1">
        <f t="shared" si="10"/>
        <v>90372.959999999992</v>
      </c>
      <c r="I56" s="1">
        <f t="shared" si="11"/>
        <v>117484.848</v>
      </c>
      <c r="J56" s="1">
        <v>120000</v>
      </c>
      <c r="K56" s="1">
        <v>120000</v>
      </c>
      <c r="L56" s="1">
        <f t="shared" si="12"/>
        <v>0</v>
      </c>
    </row>
    <row r="57" spans="1:22" ht="21" customHeight="1" x14ac:dyDescent="0.25">
      <c r="A57" s="1">
        <v>1123</v>
      </c>
      <c r="B57" s="1" t="s">
        <v>43</v>
      </c>
      <c r="D57" s="1">
        <v>10</v>
      </c>
      <c r="E57" s="1">
        <f t="shared" si="8"/>
        <v>10</v>
      </c>
      <c r="F57" s="1">
        <v>24</v>
      </c>
      <c r="G57" s="1">
        <f t="shared" si="9"/>
        <v>85404</v>
      </c>
      <c r="H57" s="1">
        <f t="shared" si="10"/>
        <v>82841.88</v>
      </c>
      <c r="I57" s="1">
        <f t="shared" si="11"/>
        <v>107694.444</v>
      </c>
      <c r="J57" s="1">
        <v>110000</v>
      </c>
      <c r="K57" s="1">
        <v>110000</v>
      </c>
      <c r="L57" s="1">
        <f t="shared" si="12"/>
        <v>0</v>
      </c>
    </row>
    <row r="58" spans="1:22" ht="21" customHeight="1" x14ac:dyDescent="0.25">
      <c r="A58" s="1">
        <v>1124</v>
      </c>
      <c r="B58" s="1" t="s">
        <v>45</v>
      </c>
      <c r="D58" s="1">
        <v>9</v>
      </c>
      <c r="E58" s="1">
        <f t="shared" si="8"/>
        <v>9</v>
      </c>
      <c r="F58" s="1">
        <v>24</v>
      </c>
      <c r="G58" s="1">
        <f t="shared" si="9"/>
        <v>151398</v>
      </c>
      <c r="H58" s="1">
        <f t="shared" si="10"/>
        <v>146856.06</v>
      </c>
      <c r="I58" s="1">
        <f t="shared" si="11"/>
        <v>190912.878</v>
      </c>
      <c r="J58" s="1">
        <v>195000</v>
      </c>
      <c r="K58" s="1">
        <v>195000</v>
      </c>
      <c r="L58" s="1">
        <f t="shared" si="12"/>
        <v>0</v>
      </c>
    </row>
    <row r="59" spans="1:22" ht="21" customHeight="1" x14ac:dyDescent="0.25">
      <c r="A59" s="1">
        <v>1127</v>
      </c>
      <c r="B59" s="1" t="s">
        <v>46</v>
      </c>
      <c r="D59" s="1">
        <v>8</v>
      </c>
      <c r="E59" s="1">
        <f t="shared" si="8"/>
        <v>7</v>
      </c>
      <c r="F59" s="1">
        <v>24</v>
      </c>
      <c r="G59" s="1">
        <f t="shared" si="9"/>
        <v>135870</v>
      </c>
      <c r="H59" s="1">
        <f t="shared" si="10"/>
        <v>131793.9</v>
      </c>
      <c r="I59" s="1">
        <f t="shared" si="11"/>
        <v>171332.07</v>
      </c>
      <c r="J59" s="1">
        <v>175000</v>
      </c>
      <c r="K59" s="1">
        <v>175000</v>
      </c>
      <c r="L59" s="1">
        <f t="shared" ref="L59:L104" si="13">SUM(M59:AZ59)</f>
        <v>1</v>
      </c>
      <c r="V59" s="1">
        <v>1</v>
      </c>
    </row>
    <row r="60" spans="1:22" ht="21" customHeight="1" x14ac:dyDescent="0.25">
      <c r="A60" s="1">
        <v>1128</v>
      </c>
      <c r="B60" s="1" t="s">
        <v>47</v>
      </c>
      <c r="D60" s="1">
        <v>9</v>
      </c>
      <c r="E60" s="1">
        <f t="shared" ref="E60:E105" si="14">F60*C60+D60-L60</f>
        <v>9</v>
      </c>
      <c r="F60" s="1">
        <v>12</v>
      </c>
      <c r="G60" s="1">
        <f t="shared" ref="G60:G100" si="15">J60*0.7764</f>
        <v>131211.6</v>
      </c>
      <c r="H60" s="1">
        <f t="shared" ref="H60:H95" si="16">G60*0.97</f>
        <v>127275.25200000001</v>
      </c>
      <c r="I60" s="1">
        <f t="shared" ref="I60:I70" si="17">H60*1.3</f>
        <v>165457.82760000002</v>
      </c>
      <c r="J60" s="1">
        <v>169000</v>
      </c>
      <c r="K60" s="1">
        <v>169000</v>
      </c>
      <c r="L60" s="1">
        <f t="shared" si="13"/>
        <v>0</v>
      </c>
    </row>
    <row r="61" spans="1:22" ht="21" customHeight="1" x14ac:dyDescent="0.25">
      <c r="A61" s="1">
        <v>1131</v>
      </c>
      <c r="B61" s="1" t="s">
        <v>48</v>
      </c>
      <c r="D61" s="1">
        <v>5</v>
      </c>
      <c r="E61" s="1">
        <f t="shared" si="14"/>
        <v>5</v>
      </c>
      <c r="F61" s="1">
        <v>6</v>
      </c>
      <c r="G61" s="1">
        <f t="shared" si="15"/>
        <v>256212</v>
      </c>
      <c r="H61" s="1">
        <f t="shared" si="16"/>
        <v>248525.63999999998</v>
      </c>
      <c r="I61" s="1">
        <f t="shared" si="17"/>
        <v>323083.33199999999</v>
      </c>
      <c r="J61" s="1">
        <v>330000</v>
      </c>
      <c r="K61" s="1">
        <v>330000</v>
      </c>
      <c r="L61" s="1">
        <f t="shared" si="13"/>
        <v>0</v>
      </c>
    </row>
    <row r="62" spans="1:22" ht="21" customHeight="1" x14ac:dyDescent="0.25">
      <c r="A62" s="1">
        <v>1132</v>
      </c>
      <c r="B62" s="1" t="s">
        <v>49</v>
      </c>
      <c r="D62" s="1">
        <v>23</v>
      </c>
      <c r="E62" s="1">
        <f t="shared" si="14"/>
        <v>23</v>
      </c>
      <c r="F62" s="1">
        <v>36</v>
      </c>
      <c r="G62" s="1">
        <f t="shared" si="15"/>
        <v>76863.599999999991</v>
      </c>
      <c r="H62" s="1">
        <f t="shared" si="16"/>
        <v>74557.691999999995</v>
      </c>
      <c r="I62" s="1">
        <f t="shared" si="17"/>
        <v>96924.999599999996</v>
      </c>
      <c r="J62" s="1">
        <v>99000</v>
      </c>
      <c r="K62" s="1">
        <v>99000</v>
      </c>
      <c r="L62" s="1">
        <f t="shared" si="13"/>
        <v>0</v>
      </c>
    </row>
    <row r="63" spans="1:22" ht="21" customHeight="1" x14ac:dyDescent="0.25">
      <c r="A63" s="1">
        <v>1133</v>
      </c>
      <c r="B63" s="1" t="s">
        <v>50</v>
      </c>
      <c r="D63" s="1">
        <v>14</v>
      </c>
      <c r="E63" s="1">
        <f t="shared" si="14"/>
        <v>11</v>
      </c>
      <c r="F63" s="1">
        <v>20</v>
      </c>
      <c r="G63" s="1">
        <f t="shared" si="15"/>
        <v>186336</v>
      </c>
      <c r="H63" s="1">
        <f t="shared" si="16"/>
        <v>180745.91999999998</v>
      </c>
      <c r="I63" s="1">
        <f t="shared" si="17"/>
        <v>234969.696</v>
      </c>
      <c r="J63" s="1">
        <v>240000</v>
      </c>
      <c r="K63" s="1">
        <v>240000</v>
      </c>
      <c r="L63" s="1">
        <f t="shared" si="13"/>
        <v>3</v>
      </c>
      <c r="N63" s="1">
        <v>1</v>
      </c>
      <c r="S63" s="1">
        <v>1</v>
      </c>
      <c r="T63" s="1">
        <v>1</v>
      </c>
    </row>
    <row r="64" spans="1:22" ht="21" customHeight="1" x14ac:dyDescent="0.25">
      <c r="A64" s="1">
        <v>1134</v>
      </c>
      <c r="B64" s="1" t="s">
        <v>51</v>
      </c>
      <c r="D64" s="1">
        <v>0</v>
      </c>
      <c r="E64" s="1">
        <f t="shared" si="14"/>
        <v>0</v>
      </c>
      <c r="F64" s="1">
        <v>20</v>
      </c>
      <c r="G64" s="1">
        <f t="shared" si="15"/>
        <v>147516</v>
      </c>
      <c r="H64" s="1">
        <f t="shared" si="16"/>
        <v>143090.51999999999</v>
      </c>
      <c r="I64" s="1">
        <f t="shared" si="17"/>
        <v>186017.67600000001</v>
      </c>
      <c r="J64" s="1">
        <v>190000</v>
      </c>
      <c r="K64" s="1">
        <v>190000</v>
      </c>
      <c r="L64" s="1">
        <f t="shared" si="13"/>
        <v>0</v>
      </c>
    </row>
    <row r="65" spans="1:26" ht="21" customHeight="1" x14ac:dyDescent="0.25">
      <c r="A65" s="1">
        <v>1254</v>
      </c>
      <c r="B65" s="1" t="s">
        <v>52</v>
      </c>
      <c r="D65" s="1">
        <v>54</v>
      </c>
      <c r="E65" s="1">
        <f t="shared" si="14"/>
        <v>52</v>
      </c>
      <c r="F65" s="1">
        <v>26</v>
      </c>
      <c r="G65" s="1">
        <f t="shared" si="15"/>
        <v>23340.524999999998</v>
      </c>
      <c r="H65" s="1">
        <f t="shared" si="16"/>
        <v>22640.309249999998</v>
      </c>
      <c r="I65" s="1">
        <f t="shared" si="17"/>
        <v>29432.402024999999</v>
      </c>
      <c r="J65" s="1">
        <v>30062.5</v>
      </c>
      <c r="K65" s="1">
        <v>30000</v>
      </c>
      <c r="L65" s="1">
        <f t="shared" si="13"/>
        <v>2</v>
      </c>
      <c r="W65" s="1">
        <v>2</v>
      </c>
    </row>
    <row r="66" spans="1:26" ht="21" customHeight="1" x14ac:dyDescent="0.25">
      <c r="A66" s="1">
        <v>1255</v>
      </c>
      <c r="B66" s="1" t="s">
        <v>53</v>
      </c>
      <c r="D66" s="1">
        <v>57</v>
      </c>
      <c r="E66" s="1">
        <f t="shared" si="14"/>
        <v>57</v>
      </c>
      <c r="F66" s="1">
        <v>39</v>
      </c>
      <c r="G66" s="1">
        <f t="shared" si="15"/>
        <v>9316.7999999999993</v>
      </c>
      <c r="H66" s="1">
        <f t="shared" si="16"/>
        <v>9037.2959999999985</v>
      </c>
      <c r="I66" s="1">
        <f t="shared" si="17"/>
        <v>11748.484799999998</v>
      </c>
      <c r="J66" s="1">
        <v>12000</v>
      </c>
      <c r="K66" s="1">
        <v>25000</v>
      </c>
      <c r="L66" s="1">
        <f t="shared" si="13"/>
        <v>0</v>
      </c>
    </row>
    <row r="67" spans="1:26" ht="21" customHeight="1" x14ac:dyDescent="0.25">
      <c r="A67" s="1">
        <v>1256</v>
      </c>
      <c r="B67" s="1" t="s">
        <v>54</v>
      </c>
      <c r="D67" s="1">
        <v>0</v>
      </c>
      <c r="E67" s="1">
        <f t="shared" si="14"/>
        <v>0</v>
      </c>
      <c r="F67" s="1">
        <v>39</v>
      </c>
      <c r="G67" s="1">
        <f t="shared" si="15"/>
        <v>10093.199999999999</v>
      </c>
      <c r="H67" s="1">
        <f t="shared" si="16"/>
        <v>9790.4039999999986</v>
      </c>
      <c r="I67" s="1">
        <f t="shared" si="17"/>
        <v>12727.525199999998</v>
      </c>
      <c r="J67" s="1">
        <v>13000</v>
      </c>
      <c r="K67" s="1">
        <v>25000</v>
      </c>
      <c r="L67" s="1">
        <f t="shared" si="13"/>
        <v>0</v>
      </c>
    </row>
    <row r="68" spans="1:26" ht="21" customHeight="1" x14ac:dyDescent="0.25">
      <c r="A68" s="1">
        <v>1257</v>
      </c>
      <c r="B68" s="1" t="s">
        <v>55</v>
      </c>
      <c r="D68" s="1">
        <v>8</v>
      </c>
      <c r="E68" s="1">
        <f t="shared" si="14"/>
        <v>8</v>
      </c>
      <c r="F68" s="1">
        <v>39</v>
      </c>
      <c r="G68" s="1">
        <f t="shared" si="15"/>
        <v>21448.05</v>
      </c>
      <c r="H68" s="1">
        <f t="shared" si="16"/>
        <v>20804.608499999998</v>
      </c>
      <c r="I68" s="1">
        <f t="shared" si="17"/>
        <v>27045.991050000001</v>
      </c>
      <c r="J68" s="1">
        <v>27625</v>
      </c>
      <c r="K68" s="1">
        <v>25000</v>
      </c>
      <c r="L68" s="1">
        <f t="shared" si="13"/>
        <v>0</v>
      </c>
    </row>
    <row r="69" spans="1:26" ht="21" customHeight="1" x14ac:dyDescent="0.25">
      <c r="A69" s="1">
        <v>1263</v>
      </c>
      <c r="B69" s="1" t="s">
        <v>56</v>
      </c>
      <c r="D69" s="1">
        <v>13</v>
      </c>
      <c r="E69" s="1">
        <f t="shared" si="14"/>
        <v>13</v>
      </c>
      <c r="F69" s="1">
        <v>36</v>
      </c>
      <c r="G69" s="1">
        <f t="shared" si="15"/>
        <v>25106.834999999999</v>
      </c>
      <c r="H69" s="1">
        <f t="shared" si="16"/>
        <v>24353.629949999999</v>
      </c>
      <c r="I69" s="1">
        <f t="shared" si="17"/>
        <v>31659.718935000001</v>
      </c>
      <c r="J69" s="1">
        <v>32337.5</v>
      </c>
      <c r="K69" s="1">
        <v>30000</v>
      </c>
      <c r="L69" s="1">
        <f t="shared" si="13"/>
        <v>0</v>
      </c>
    </row>
    <row r="70" spans="1:26" ht="21" customHeight="1" x14ac:dyDescent="0.25">
      <c r="A70" s="1">
        <v>1280</v>
      </c>
      <c r="B70" s="1" t="s">
        <v>57</v>
      </c>
      <c r="D70" s="1">
        <v>0</v>
      </c>
      <c r="E70" s="1">
        <f t="shared" si="14"/>
        <v>0</v>
      </c>
      <c r="F70" s="1">
        <v>12</v>
      </c>
      <c r="G70" s="1">
        <f t="shared" si="15"/>
        <v>50660.1</v>
      </c>
      <c r="H70" s="1">
        <f t="shared" si="16"/>
        <v>49140.296999999999</v>
      </c>
      <c r="I70" s="1">
        <f t="shared" si="17"/>
        <v>63882.386100000003</v>
      </c>
      <c r="J70" s="1">
        <v>65250</v>
      </c>
      <c r="K70" s="1">
        <v>52200</v>
      </c>
      <c r="L70" s="1">
        <f t="shared" si="13"/>
        <v>0</v>
      </c>
    </row>
    <row r="71" spans="1:26" ht="21" customHeight="1" x14ac:dyDescent="0.25">
      <c r="A71" s="1">
        <v>2161</v>
      </c>
      <c r="B71" s="1" t="s">
        <v>90</v>
      </c>
      <c r="D71" s="1">
        <v>0</v>
      </c>
      <c r="E71" s="1">
        <f t="shared" si="14"/>
        <v>0</v>
      </c>
      <c r="F71" s="1">
        <v>1</v>
      </c>
      <c r="G71" s="1">
        <f t="shared" si="15"/>
        <v>302796</v>
      </c>
      <c r="H71" s="1">
        <f t="shared" si="16"/>
        <v>293712.12</v>
      </c>
      <c r="J71" s="1">
        <v>390000</v>
      </c>
      <c r="K71" s="1">
        <v>500000</v>
      </c>
      <c r="L71" s="1">
        <f t="shared" si="13"/>
        <v>0</v>
      </c>
    </row>
    <row r="72" spans="1:26" ht="21" customHeight="1" x14ac:dyDescent="0.25">
      <c r="A72" s="1">
        <v>2162</v>
      </c>
      <c r="B72" s="1" t="s">
        <v>91</v>
      </c>
      <c r="D72" s="1">
        <v>0</v>
      </c>
      <c r="E72" s="1">
        <f t="shared" si="14"/>
        <v>0</v>
      </c>
      <c r="F72" s="1">
        <v>1</v>
      </c>
      <c r="J72" s="1">
        <v>390000</v>
      </c>
      <c r="K72" s="1">
        <v>500000</v>
      </c>
      <c r="L72" s="1">
        <f t="shared" si="13"/>
        <v>0</v>
      </c>
    </row>
    <row r="73" spans="1:26" ht="21" customHeight="1" x14ac:dyDescent="0.25">
      <c r="A73" s="1">
        <v>2163</v>
      </c>
      <c r="B73" s="1" t="s">
        <v>92</v>
      </c>
      <c r="D73" s="1">
        <v>1</v>
      </c>
      <c r="E73" s="1">
        <f t="shared" si="14"/>
        <v>1</v>
      </c>
      <c r="F73" s="1">
        <v>1</v>
      </c>
      <c r="J73" s="1">
        <v>390000</v>
      </c>
      <c r="K73" s="1">
        <v>500000</v>
      </c>
      <c r="L73" s="1">
        <f t="shared" si="13"/>
        <v>0</v>
      </c>
    </row>
    <row r="74" spans="1:26" ht="21" customHeight="1" x14ac:dyDescent="0.25">
      <c r="A74" s="1">
        <v>2164</v>
      </c>
      <c r="B74" s="1" t="s">
        <v>93</v>
      </c>
      <c r="D74" s="1">
        <v>3</v>
      </c>
      <c r="E74" s="1">
        <f t="shared" si="14"/>
        <v>1</v>
      </c>
      <c r="F74" s="1">
        <v>1</v>
      </c>
      <c r="J74" s="1">
        <v>390000</v>
      </c>
      <c r="K74" s="1">
        <v>500000</v>
      </c>
      <c r="L74" s="1">
        <f t="shared" si="13"/>
        <v>2</v>
      </c>
      <c r="W74" s="1">
        <v>2</v>
      </c>
    </row>
    <row r="75" spans="1:26" ht="21" customHeight="1" x14ac:dyDescent="0.25">
      <c r="A75" s="1">
        <v>2201</v>
      </c>
      <c r="B75" s="1" t="s">
        <v>106</v>
      </c>
      <c r="D75" s="1">
        <v>2</v>
      </c>
      <c r="E75" s="1">
        <f t="shared" si="14"/>
        <v>1</v>
      </c>
      <c r="F75" s="1">
        <v>1</v>
      </c>
      <c r="G75" s="1">
        <f t="shared" si="15"/>
        <v>1009320</v>
      </c>
      <c r="H75" s="1">
        <f t="shared" si="16"/>
        <v>979040.4</v>
      </c>
      <c r="J75" s="1">
        <v>1300000</v>
      </c>
      <c r="K75" s="1">
        <v>1900000</v>
      </c>
      <c r="L75" s="1">
        <f t="shared" si="13"/>
        <v>1</v>
      </c>
      <c r="M75" s="1">
        <v>1</v>
      </c>
    </row>
    <row r="76" spans="1:26" ht="21" customHeight="1" x14ac:dyDescent="0.25">
      <c r="A76" s="1">
        <v>2202</v>
      </c>
      <c r="B76" s="1" t="s">
        <v>107</v>
      </c>
      <c r="D76" s="1">
        <v>1</v>
      </c>
      <c r="E76" s="1">
        <f t="shared" si="14"/>
        <v>1</v>
      </c>
      <c r="F76" s="1">
        <v>1</v>
      </c>
      <c r="G76" s="1">
        <f t="shared" si="15"/>
        <v>1164600</v>
      </c>
      <c r="H76" s="1">
        <f t="shared" si="16"/>
        <v>1129662</v>
      </c>
      <c r="I76" s="1">
        <v>1180000</v>
      </c>
      <c r="J76" s="1">
        <v>1500000</v>
      </c>
      <c r="K76" s="1">
        <v>2200000</v>
      </c>
      <c r="L76" s="1">
        <f t="shared" si="13"/>
        <v>0</v>
      </c>
    </row>
    <row r="77" spans="1:26" ht="21" customHeight="1" x14ac:dyDescent="0.25">
      <c r="A77" s="1">
        <v>2203</v>
      </c>
      <c r="B77" s="1" t="s">
        <v>80</v>
      </c>
      <c r="D77" s="1">
        <v>7</v>
      </c>
      <c r="E77" s="1">
        <f t="shared" si="14"/>
        <v>5</v>
      </c>
      <c r="F77" s="1">
        <v>1</v>
      </c>
      <c r="G77" s="1">
        <f t="shared" si="15"/>
        <v>1086960</v>
      </c>
      <c r="H77" s="1">
        <f t="shared" si="16"/>
        <v>1054351.2</v>
      </c>
      <c r="J77" s="1">
        <v>1400000</v>
      </c>
      <c r="K77" s="1">
        <v>3100000</v>
      </c>
      <c r="L77" s="1">
        <f t="shared" si="13"/>
        <v>2</v>
      </c>
      <c r="Y77" s="1">
        <v>2</v>
      </c>
    </row>
    <row r="78" spans="1:26" ht="21" customHeight="1" x14ac:dyDescent="0.25">
      <c r="A78" s="1">
        <v>2206</v>
      </c>
      <c r="B78" s="1" t="s">
        <v>58</v>
      </c>
      <c r="D78" s="1">
        <v>0</v>
      </c>
      <c r="E78" s="1">
        <f t="shared" si="14"/>
        <v>0</v>
      </c>
      <c r="F78" s="1">
        <v>1</v>
      </c>
      <c r="G78" s="1">
        <f t="shared" si="15"/>
        <v>357144</v>
      </c>
      <c r="H78" s="1">
        <f t="shared" si="16"/>
        <v>346429.68</v>
      </c>
      <c r="J78" s="1">
        <v>460000</v>
      </c>
      <c r="K78" s="1">
        <v>460000</v>
      </c>
      <c r="L78" s="1">
        <f t="shared" si="13"/>
        <v>0</v>
      </c>
    </row>
    <row r="79" spans="1:26" ht="21" customHeight="1" x14ac:dyDescent="0.25">
      <c r="A79" s="1">
        <v>2207</v>
      </c>
      <c r="B79" s="1" t="s">
        <v>96</v>
      </c>
      <c r="C79" s="1">
        <v>1</v>
      </c>
      <c r="D79" s="1">
        <v>0</v>
      </c>
      <c r="E79" s="1">
        <f t="shared" si="14"/>
        <v>0</v>
      </c>
      <c r="F79" s="1">
        <v>1</v>
      </c>
      <c r="G79" s="1">
        <f t="shared" si="15"/>
        <v>2484480</v>
      </c>
      <c r="H79" s="1">
        <f t="shared" si="16"/>
        <v>2409945.6</v>
      </c>
      <c r="J79" s="1">
        <v>3200000</v>
      </c>
      <c r="K79" s="1">
        <v>3200000</v>
      </c>
      <c r="L79" s="1">
        <f t="shared" si="13"/>
        <v>1</v>
      </c>
      <c r="Z79" s="1">
        <v>1</v>
      </c>
    </row>
    <row r="80" spans="1:26" ht="21" customHeight="1" x14ac:dyDescent="0.25">
      <c r="A80" s="1">
        <v>2208</v>
      </c>
      <c r="B80" s="1" t="s">
        <v>137</v>
      </c>
      <c r="C80" s="1">
        <v>2</v>
      </c>
      <c r="D80" s="1">
        <v>0</v>
      </c>
      <c r="E80" s="1">
        <f t="shared" si="14"/>
        <v>0</v>
      </c>
      <c r="F80" s="1">
        <v>1</v>
      </c>
      <c r="J80" s="1">
        <v>2700000</v>
      </c>
      <c r="K80" s="1">
        <v>2700000</v>
      </c>
      <c r="L80" s="1">
        <f t="shared" si="13"/>
        <v>2</v>
      </c>
      <c r="X80" s="1">
        <v>1</v>
      </c>
      <c r="Z80" s="1">
        <v>1</v>
      </c>
    </row>
    <row r="81" spans="1:25" ht="21" customHeight="1" x14ac:dyDescent="0.25">
      <c r="A81" s="1">
        <v>2211</v>
      </c>
      <c r="B81" s="1" t="s">
        <v>59</v>
      </c>
      <c r="C81" s="1">
        <v>2</v>
      </c>
      <c r="D81" s="1">
        <v>1</v>
      </c>
      <c r="E81" s="1">
        <f t="shared" si="14"/>
        <v>0</v>
      </c>
      <c r="F81" s="1">
        <v>1</v>
      </c>
      <c r="G81" s="1">
        <f t="shared" si="15"/>
        <v>1009320</v>
      </c>
      <c r="H81" s="1">
        <f t="shared" si="16"/>
        <v>979040.4</v>
      </c>
      <c r="J81" s="1">
        <v>1300000</v>
      </c>
      <c r="K81" s="1">
        <v>1800000</v>
      </c>
      <c r="L81" s="1">
        <f t="shared" si="13"/>
        <v>3</v>
      </c>
      <c r="P81" s="1">
        <v>2</v>
      </c>
      <c r="Q81" s="1">
        <v>1</v>
      </c>
    </row>
    <row r="82" spans="1:25" ht="21" customHeight="1" x14ac:dyDescent="0.25">
      <c r="A82" s="1">
        <v>2213</v>
      </c>
      <c r="B82" s="1" t="s">
        <v>105</v>
      </c>
      <c r="D82" s="1">
        <v>0</v>
      </c>
      <c r="E82" s="1">
        <f t="shared" si="14"/>
        <v>0</v>
      </c>
      <c r="F82" s="1">
        <v>1</v>
      </c>
      <c r="G82" s="1">
        <f t="shared" si="15"/>
        <v>1242240</v>
      </c>
      <c r="H82" s="1">
        <f t="shared" si="16"/>
        <v>1204972.8</v>
      </c>
      <c r="J82" s="1">
        <v>1600000</v>
      </c>
      <c r="K82" s="1">
        <v>1600000</v>
      </c>
      <c r="L82" s="1">
        <f t="shared" si="13"/>
        <v>0</v>
      </c>
    </row>
    <row r="83" spans="1:25" ht="21" customHeight="1" x14ac:dyDescent="0.25">
      <c r="A83" s="1">
        <v>2214</v>
      </c>
      <c r="B83" s="1" t="s">
        <v>101</v>
      </c>
      <c r="D83" s="1">
        <v>1</v>
      </c>
      <c r="E83" s="1">
        <f t="shared" si="14"/>
        <v>0</v>
      </c>
      <c r="F83" s="1">
        <v>1</v>
      </c>
      <c r="G83" s="1">
        <f t="shared" si="15"/>
        <v>605592</v>
      </c>
      <c r="H83" s="1">
        <f t="shared" si="16"/>
        <v>587424.24</v>
      </c>
      <c r="I83" s="1">
        <v>680000</v>
      </c>
      <c r="J83" s="1">
        <v>780000</v>
      </c>
      <c r="K83" s="1">
        <v>1800000</v>
      </c>
      <c r="L83" s="1">
        <f t="shared" si="13"/>
        <v>1</v>
      </c>
      <c r="Q83" s="1">
        <v>1</v>
      </c>
    </row>
    <row r="84" spans="1:25" ht="21" customHeight="1" x14ac:dyDescent="0.25">
      <c r="A84" s="1">
        <v>2215</v>
      </c>
      <c r="B84" s="1" t="s">
        <v>95</v>
      </c>
      <c r="D84" s="1">
        <v>1</v>
      </c>
      <c r="E84" s="1">
        <f t="shared" si="14"/>
        <v>0</v>
      </c>
      <c r="F84" s="1">
        <v>1</v>
      </c>
      <c r="G84" s="1">
        <f t="shared" si="15"/>
        <v>1086960</v>
      </c>
      <c r="H84" s="1">
        <f t="shared" si="16"/>
        <v>1054351.2</v>
      </c>
      <c r="J84" s="1">
        <v>1400000</v>
      </c>
      <c r="K84" s="1">
        <v>2300000</v>
      </c>
      <c r="L84" s="1">
        <f t="shared" si="13"/>
        <v>1</v>
      </c>
      <c r="T84" s="1">
        <v>1</v>
      </c>
    </row>
    <row r="85" spans="1:25" ht="21" customHeight="1" x14ac:dyDescent="0.25">
      <c r="A85" s="1">
        <v>2216</v>
      </c>
      <c r="B85" s="1" t="s">
        <v>60</v>
      </c>
      <c r="C85" s="1">
        <v>1</v>
      </c>
      <c r="D85" s="1">
        <v>3</v>
      </c>
      <c r="E85" s="1">
        <f t="shared" si="14"/>
        <v>3</v>
      </c>
      <c r="F85" s="1">
        <v>1</v>
      </c>
      <c r="G85" s="1">
        <f t="shared" si="15"/>
        <v>605592</v>
      </c>
      <c r="H85" s="1">
        <f t="shared" si="16"/>
        <v>587424.24</v>
      </c>
      <c r="I85" s="1">
        <v>355000</v>
      </c>
      <c r="J85" s="1">
        <v>780000</v>
      </c>
      <c r="K85" s="1">
        <v>1400000</v>
      </c>
      <c r="L85" s="1">
        <f t="shared" si="13"/>
        <v>1</v>
      </c>
      <c r="R85" s="1">
        <v>1</v>
      </c>
    </row>
    <row r="86" spans="1:25" ht="21" customHeight="1" x14ac:dyDescent="0.25">
      <c r="A86" s="1">
        <v>2217</v>
      </c>
      <c r="B86" s="1" t="s">
        <v>61</v>
      </c>
      <c r="D86" s="1">
        <v>0</v>
      </c>
      <c r="E86" s="1">
        <f t="shared" si="14"/>
        <v>0</v>
      </c>
      <c r="F86" s="1">
        <v>1</v>
      </c>
      <c r="G86" s="1">
        <f t="shared" si="15"/>
        <v>77640</v>
      </c>
      <c r="H86" s="1">
        <f t="shared" si="16"/>
        <v>75310.8</v>
      </c>
      <c r="J86" s="1">
        <v>100000</v>
      </c>
      <c r="K86" s="1">
        <v>100000</v>
      </c>
      <c r="L86" s="1">
        <f t="shared" si="13"/>
        <v>0</v>
      </c>
    </row>
    <row r="87" spans="1:25" ht="21" customHeight="1" x14ac:dyDescent="0.25">
      <c r="A87" s="1">
        <v>2218</v>
      </c>
      <c r="B87" s="1" t="s">
        <v>136</v>
      </c>
      <c r="C87" s="1">
        <v>1</v>
      </c>
      <c r="D87" s="1">
        <v>0</v>
      </c>
      <c r="E87" s="1">
        <f t="shared" si="14"/>
        <v>1</v>
      </c>
      <c r="F87" s="1">
        <v>1</v>
      </c>
      <c r="G87" s="1">
        <f t="shared" si="15"/>
        <v>465840</v>
      </c>
      <c r="H87" s="1">
        <f t="shared" si="16"/>
        <v>451864.8</v>
      </c>
      <c r="J87" s="1">
        <v>600000</v>
      </c>
      <c r="K87" s="1">
        <v>600000</v>
      </c>
      <c r="L87" s="1">
        <f t="shared" si="13"/>
        <v>0</v>
      </c>
    </row>
    <row r="88" spans="1:25" ht="21" customHeight="1" x14ac:dyDescent="0.25">
      <c r="A88" s="1">
        <v>2221</v>
      </c>
      <c r="B88" s="1" t="s">
        <v>100</v>
      </c>
      <c r="D88" s="1">
        <v>0</v>
      </c>
      <c r="E88" s="1">
        <f t="shared" si="14"/>
        <v>0</v>
      </c>
      <c r="F88" s="1">
        <v>1</v>
      </c>
      <c r="G88" s="1">
        <f t="shared" si="15"/>
        <v>271740</v>
      </c>
      <c r="H88" s="1">
        <f t="shared" si="16"/>
        <v>263587.8</v>
      </c>
      <c r="J88" s="1">
        <v>350000</v>
      </c>
      <c r="K88" s="1">
        <v>400000</v>
      </c>
      <c r="L88" s="1">
        <f t="shared" si="13"/>
        <v>0</v>
      </c>
    </row>
    <row r="89" spans="1:25" ht="21" customHeight="1" x14ac:dyDescent="0.25">
      <c r="A89" s="1">
        <v>2222</v>
      </c>
      <c r="B89" s="1" t="s">
        <v>62</v>
      </c>
      <c r="C89" s="1">
        <v>2</v>
      </c>
      <c r="D89" s="1">
        <v>2</v>
      </c>
      <c r="E89" s="1">
        <f t="shared" si="14"/>
        <v>2</v>
      </c>
      <c r="F89" s="1">
        <v>1</v>
      </c>
      <c r="G89" s="1">
        <f t="shared" si="15"/>
        <v>217392</v>
      </c>
      <c r="H89" s="1">
        <f t="shared" si="16"/>
        <v>210870.24</v>
      </c>
      <c r="I89" s="1">
        <v>115000</v>
      </c>
      <c r="J89" s="1">
        <v>280000</v>
      </c>
      <c r="K89" s="1">
        <v>500000</v>
      </c>
      <c r="L89" s="1">
        <f t="shared" si="13"/>
        <v>2</v>
      </c>
      <c r="Q89" s="1">
        <v>2</v>
      </c>
    </row>
    <row r="90" spans="1:25" ht="21" customHeight="1" x14ac:dyDescent="0.25">
      <c r="A90" s="1">
        <v>2231</v>
      </c>
      <c r="B90" s="1" t="s">
        <v>63</v>
      </c>
      <c r="C90" s="1">
        <v>4</v>
      </c>
      <c r="D90" s="1">
        <v>2</v>
      </c>
      <c r="E90" s="1">
        <f t="shared" si="14"/>
        <v>1</v>
      </c>
      <c r="F90" s="1">
        <v>1</v>
      </c>
      <c r="G90" s="1">
        <f t="shared" si="15"/>
        <v>302796</v>
      </c>
      <c r="H90" s="1">
        <f t="shared" si="16"/>
        <v>293712.12</v>
      </c>
      <c r="J90" s="1">
        <v>390000</v>
      </c>
      <c r="K90" s="1">
        <v>1000000</v>
      </c>
      <c r="L90" s="1">
        <f t="shared" si="13"/>
        <v>5</v>
      </c>
      <c r="P90" s="1">
        <v>1</v>
      </c>
      <c r="Q90" s="1">
        <v>2</v>
      </c>
      <c r="X90" s="1">
        <v>1</v>
      </c>
      <c r="Y90" s="1">
        <v>1</v>
      </c>
    </row>
    <row r="91" spans="1:25" ht="21" customHeight="1" x14ac:dyDescent="0.25">
      <c r="A91" s="1">
        <v>2232</v>
      </c>
      <c r="B91" s="1" t="s">
        <v>97</v>
      </c>
      <c r="D91" s="1">
        <v>8</v>
      </c>
      <c r="E91" s="1">
        <f t="shared" si="14"/>
        <v>3</v>
      </c>
      <c r="F91" s="1">
        <v>1</v>
      </c>
      <c r="G91" s="1">
        <f t="shared" si="15"/>
        <v>232920</v>
      </c>
      <c r="H91" s="1">
        <f t="shared" si="16"/>
        <v>225932.4</v>
      </c>
      <c r="J91" s="1">
        <v>300000</v>
      </c>
      <c r="K91" s="1">
        <v>600000</v>
      </c>
      <c r="L91" s="1">
        <f t="shared" si="13"/>
        <v>5</v>
      </c>
      <c r="P91" s="1">
        <v>1</v>
      </c>
      <c r="Q91" s="1">
        <v>2</v>
      </c>
      <c r="X91" s="1">
        <v>1</v>
      </c>
      <c r="Y91" s="1">
        <v>1</v>
      </c>
    </row>
    <row r="92" spans="1:25" ht="21" customHeight="1" x14ac:dyDescent="0.25">
      <c r="A92" s="1">
        <v>2301</v>
      </c>
      <c r="B92" s="1" t="s">
        <v>64</v>
      </c>
      <c r="D92" s="1">
        <v>4</v>
      </c>
      <c r="E92" s="1">
        <f t="shared" si="14"/>
        <v>1</v>
      </c>
      <c r="F92" s="1">
        <v>1</v>
      </c>
      <c r="G92" s="1">
        <f t="shared" si="15"/>
        <v>104814</v>
      </c>
      <c r="H92" s="1">
        <f t="shared" si="16"/>
        <v>101669.58</v>
      </c>
      <c r="I92" s="1">
        <v>72000</v>
      </c>
      <c r="J92" s="1">
        <v>135000</v>
      </c>
      <c r="K92" s="1">
        <v>300000</v>
      </c>
      <c r="L92" s="1">
        <f t="shared" si="13"/>
        <v>3</v>
      </c>
      <c r="W92" s="1">
        <v>3</v>
      </c>
    </row>
    <row r="93" spans="1:25" ht="21" customHeight="1" x14ac:dyDescent="0.25">
      <c r="A93" s="1">
        <v>2302</v>
      </c>
      <c r="B93" s="1" t="s">
        <v>65</v>
      </c>
      <c r="D93" s="1">
        <v>0</v>
      </c>
      <c r="E93" s="1">
        <f t="shared" si="14"/>
        <v>0</v>
      </c>
      <c r="F93" s="1">
        <v>1</v>
      </c>
      <c r="G93" s="1">
        <f t="shared" si="15"/>
        <v>104814</v>
      </c>
      <c r="H93" s="1">
        <f t="shared" si="16"/>
        <v>101669.58</v>
      </c>
      <c r="I93" s="1">
        <v>72000</v>
      </c>
      <c r="J93" s="1">
        <v>135000</v>
      </c>
      <c r="K93" s="1">
        <v>170000</v>
      </c>
      <c r="L93" s="1">
        <f t="shared" si="13"/>
        <v>0</v>
      </c>
    </row>
    <row r="94" spans="1:25" ht="21" customHeight="1" x14ac:dyDescent="0.25">
      <c r="A94" s="1">
        <v>2303</v>
      </c>
      <c r="B94" s="1" t="s">
        <v>104</v>
      </c>
      <c r="D94" s="1">
        <v>5</v>
      </c>
      <c r="E94" s="1">
        <f t="shared" si="14"/>
        <v>5</v>
      </c>
      <c r="F94" s="1">
        <v>1</v>
      </c>
      <c r="G94" s="1">
        <f t="shared" si="15"/>
        <v>104814</v>
      </c>
      <c r="H94" s="1">
        <f t="shared" si="16"/>
        <v>101669.58</v>
      </c>
      <c r="J94" s="1">
        <v>135000</v>
      </c>
      <c r="K94" s="1">
        <v>350000</v>
      </c>
      <c r="L94" s="1">
        <f t="shared" si="13"/>
        <v>0</v>
      </c>
    </row>
    <row r="95" spans="1:25" ht="21" customHeight="1" x14ac:dyDescent="0.25">
      <c r="A95" s="1">
        <v>2354</v>
      </c>
      <c r="B95" s="1" t="s">
        <v>66</v>
      </c>
      <c r="D95" s="1">
        <v>9</v>
      </c>
      <c r="E95" s="1">
        <f t="shared" si="14"/>
        <v>8</v>
      </c>
      <c r="F95" s="1">
        <v>1</v>
      </c>
      <c r="G95" s="1">
        <f t="shared" si="15"/>
        <v>239131.19999999998</v>
      </c>
      <c r="H95" s="1">
        <f t="shared" si="16"/>
        <v>231957.26399999997</v>
      </c>
      <c r="J95" s="1">
        <v>308000</v>
      </c>
      <c r="K95" s="1">
        <v>550000</v>
      </c>
      <c r="L95" s="1">
        <f t="shared" si="13"/>
        <v>1</v>
      </c>
      <c r="W95" s="1">
        <v>1</v>
      </c>
    </row>
    <row r="96" spans="1:25" ht="21" customHeight="1" x14ac:dyDescent="0.25">
      <c r="A96" s="1">
        <v>2355</v>
      </c>
      <c r="B96" s="1" t="s">
        <v>94</v>
      </c>
      <c r="D96" s="1">
        <v>11</v>
      </c>
      <c r="E96" s="1">
        <f t="shared" si="14"/>
        <v>11</v>
      </c>
      <c r="F96" s="1">
        <v>1</v>
      </c>
      <c r="G96" s="1">
        <f t="shared" si="15"/>
        <v>93168</v>
      </c>
      <c r="J96" s="1">
        <v>120000</v>
      </c>
      <c r="K96" s="1">
        <v>220000</v>
      </c>
      <c r="L96" s="1">
        <f t="shared" si="13"/>
        <v>0</v>
      </c>
    </row>
    <row r="97" spans="1:23" ht="21" customHeight="1" x14ac:dyDescent="0.25">
      <c r="A97" s="1">
        <v>2359</v>
      </c>
      <c r="B97" s="1" t="s">
        <v>85</v>
      </c>
      <c r="D97" s="1">
        <v>12</v>
      </c>
      <c r="E97" s="1">
        <f t="shared" si="14"/>
        <v>12</v>
      </c>
      <c r="F97" s="1">
        <v>1</v>
      </c>
      <c r="G97" s="1">
        <f t="shared" si="15"/>
        <v>103261.2</v>
      </c>
      <c r="J97" s="1">
        <v>133000</v>
      </c>
      <c r="K97" s="1">
        <v>250000</v>
      </c>
      <c r="L97" s="1">
        <f t="shared" si="13"/>
        <v>0</v>
      </c>
    </row>
    <row r="98" spans="1:23" ht="21" customHeight="1" x14ac:dyDescent="0.25">
      <c r="A98" s="1">
        <v>2360</v>
      </c>
      <c r="B98" s="1" t="s">
        <v>88</v>
      </c>
      <c r="D98" s="1">
        <v>24</v>
      </c>
      <c r="E98" s="1">
        <f t="shared" si="14"/>
        <v>24</v>
      </c>
      <c r="F98" s="1">
        <v>1</v>
      </c>
      <c r="G98" s="1">
        <f t="shared" si="15"/>
        <v>54348</v>
      </c>
      <c r="J98" s="1">
        <v>70000</v>
      </c>
      <c r="K98" s="1">
        <v>150000</v>
      </c>
      <c r="L98" s="1">
        <f t="shared" si="13"/>
        <v>0</v>
      </c>
    </row>
    <row r="99" spans="1:23" ht="21" customHeight="1" x14ac:dyDescent="0.25">
      <c r="A99" s="1">
        <v>2362</v>
      </c>
      <c r="B99" s="1" t="s">
        <v>67</v>
      </c>
      <c r="D99" s="1">
        <v>1</v>
      </c>
      <c r="E99" s="1">
        <f t="shared" si="14"/>
        <v>1</v>
      </c>
      <c r="F99" s="1">
        <v>1</v>
      </c>
      <c r="G99" s="1">
        <f t="shared" si="15"/>
        <v>38820</v>
      </c>
      <c r="J99" s="1">
        <v>50000</v>
      </c>
      <c r="K99" s="1">
        <v>50000</v>
      </c>
      <c r="L99" s="1">
        <f t="shared" si="13"/>
        <v>0</v>
      </c>
    </row>
    <row r="100" spans="1:23" ht="21" customHeight="1" x14ac:dyDescent="0.25">
      <c r="A100" s="1">
        <v>2363</v>
      </c>
      <c r="B100" s="1" t="s">
        <v>68</v>
      </c>
      <c r="D100" s="1">
        <v>9</v>
      </c>
      <c r="E100" s="1">
        <f t="shared" si="14"/>
        <v>9</v>
      </c>
      <c r="F100" s="1">
        <v>1</v>
      </c>
      <c r="G100" s="1">
        <f t="shared" si="15"/>
        <v>38820</v>
      </c>
      <c r="J100" s="1">
        <v>50000</v>
      </c>
      <c r="K100" s="1">
        <v>50000</v>
      </c>
      <c r="L100" s="1">
        <f t="shared" si="13"/>
        <v>0</v>
      </c>
    </row>
    <row r="101" spans="1:23" ht="21" customHeight="1" x14ac:dyDescent="0.25">
      <c r="A101" s="1">
        <v>2411</v>
      </c>
      <c r="B101" s="1" t="s">
        <v>76</v>
      </c>
      <c r="D101" s="1">
        <v>4</v>
      </c>
      <c r="E101" s="1">
        <f t="shared" si="14"/>
        <v>4</v>
      </c>
      <c r="F101" s="1">
        <v>1</v>
      </c>
      <c r="J101" s="1">
        <v>110000</v>
      </c>
      <c r="K101" s="1">
        <v>200000</v>
      </c>
      <c r="L101" s="1">
        <f t="shared" si="13"/>
        <v>0</v>
      </c>
    </row>
    <row r="102" spans="1:23" ht="21" customHeight="1" x14ac:dyDescent="0.25">
      <c r="A102" s="1">
        <v>2412</v>
      </c>
      <c r="B102" s="1" t="s">
        <v>72</v>
      </c>
      <c r="D102" s="1">
        <v>5</v>
      </c>
      <c r="E102" s="1">
        <f t="shared" si="14"/>
        <v>5</v>
      </c>
      <c r="F102" s="1">
        <v>1</v>
      </c>
      <c r="J102" s="1">
        <v>110000</v>
      </c>
      <c r="K102" s="1">
        <v>200000</v>
      </c>
      <c r="L102" s="1">
        <f t="shared" si="13"/>
        <v>0</v>
      </c>
    </row>
    <row r="103" spans="1:23" ht="21" customHeight="1" x14ac:dyDescent="0.25">
      <c r="A103" s="1">
        <v>2413</v>
      </c>
      <c r="B103" s="1" t="s">
        <v>73</v>
      </c>
      <c r="D103" s="1">
        <v>3</v>
      </c>
      <c r="E103" s="1">
        <f t="shared" si="14"/>
        <v>3</v>
      </c>
      <c r="F103" s="1">
        <v>1</v>
      </c>
      <c r="J103" s="1">
        <v>110000</v>
      </c>
      <c r="K103" s="1">
        <v>200000</v>
      </c>
      <c r="L103" s="1">
        <f t="shared" si="13"/>
        <v>0</v>
      </c>
    </row>
    <row r="104" spans="1:23" ht="21" customHeight="1" x14ac:dyDescent="0.25">
      <c r="A104" s="1">
        <v>2414</v>
      </c>
      <c r="B104" s="1" t="s">
        <v>74</v>
      </c>
      <c r="D104" s="1">
        <v>5</v>
      </c>
      <c r="E104" s="1">
        <f t="shared" si="14"/>
        <v>5</v>
      </c>
      <c r="F104" s="1">
        <v>1</v>
      </c>
      <c r="J104" s="1">
        <v>110000</v>
      </c>
      <c r="K104" s="1">
        <v>200000</v>
      </c>
      <c r="L104" s="1">
        <f t="shared" si="13"/>
        <v>0</v>
      </c>
    </row>
    <row r="105" spans="1:23" ht="21" customHeight="1" x14ac:dyDescent="0.25">
      <c r="A105" s="1">
        <v>2415</v>
      </c>
      <c r="B105" s="1" t="s">
        <v>75</v>
      </c>
      <c r="D105" s="1">
        <v>3</v>
      </c>
      <c r="E105" s="1">
        <f t="shared" si="14"/>
        <v>3</v>
      </c>
      <c r="F105" s="1">
        <v>1</v>
      </c>
      <c r="J105" s="1">
        <v>110000</v>
      </c>
      <c r="K105" s="1">
        <v>200000</v>
      </c>
      <c r="L105" s="1">
        <f t="shared" ref="L105:L108" si="18">SUM(M105:AZ105)</f>
        <v>0</v>
      </c>
    </row>
    <row r="106" spans="1:23" ht="21" customHeight="1" x14ac:dyDescent="0.25">
      <c r="A106" s="1">
        <v>2416</v>
      </c>
      <c r="B106" s="1" t="s">
        <v>89</v>
      </c>
      <c r="D106" s="1">
        <v>5</v>
      </c>
      <c r="E106" s="1">
        <f t="shared" ref="E106:E108" si="19">F106*C106+D106-L106</f>
        <v>5</v>
      </c>
      <c r="F106" s="1">
        <v>1</v>
      </c>
      <c r="J106" s="1">
        <v>110000</v>
      </c>
      <c r="K106" s="1">
        <v>200000</v>
      </c>
      <c r="L106" s="1">
        <f t="shared" si="18"/>
        <v>0</v>
      </c>
    </row>
    <row r="107" spans="1:23" ht="21" customHeight="1" x14ac:dyDescent="0.25">
      <c r="A107" s="1">
        <v>2611</v>
      </c>
      <c r="B107" s="1" t="s">
        <v>86</v>
      </c>
      <c r="D107" s="1">
        <v>0</v>
      </c>
      <c r="E107" s="1">
        <f t="shared" si="19"/>
        <v>0</v>
      </c>
      <c r="F107" s="1">
        <v>1</v>
      </c>
      <c r="J107" s="1">
        <v>224000</v>
      </c>
      <c r="K107" s="1">
        <v>300000</v>
      </c>
      <c r="L107" s="1">
        <f t="shared" si="18"/>
        <v>0</v>
      </c>
    </row>
    <row r="108" spans="1:23" ht="21" customHeight="1" x14ac:dyDescent="0.25">
      <c r="A108" s="1">
        <v>2621</v>
      </c>
      <c r="B108" s="1" t="s">
        <v>87</v>
      </c>
      <c r="D108" s="1">
        <v>2</v>
      </c>
      <c r="E108" s="1">
        <f t="shared" si="19"/>
        <v>0</v>
      </c>
      <c r="F108" s="1">
        <v>1</v>
      </c>
      <c r="J108" s="1">
        <v>224000</v>
      </c>
      <c r="K108" s="1">
        <v>450000</v>
      </c>
      <c r="L108" s="1">
        <f t="shared" si="18"/>
        <v>2</v>
      </c>
      <c r="R108" s="1">
        <v>1</v>
      </c>
      <c r="W108" s="1">
        <v>1</v>
      </c>
    </row>
    <row r="109" spans="1:23" ht="21" customHeight="1" x14ac:dyDescent="0.25">
      <c r="B109" s="1" t="s">
        <v>69</v>
      </c>
      <c r="C109" s="1">
        <f>SUM(C2:C108)</f>
        <v>83</v>
      </c>
      <c r="D109" s="1">
        <f t="shared" ref="D109:W109" si="20">SUM(D2:D108)</f>
        <v>668</v>
      </c>
      <c r="E109" s="1">
        <f t="shared" si="20"/>
        <v>963</v>
      </c>
      <c r="L109" s="1">
        <f t="shared" si="20"/>
        <v>111</v>
      </c>
      <c r="M109" s="1">
        <f t="shared" si="20"/>
        <v>1</v>
      </c>
      <c r="N109" s="1">
        <f t="shared" si="20"/>
        <v>4</v>
      </c>
      <c r="O109" s="1">
        <f t="shared" si="20"/>
        <v>8</v>
      </c>
      <c r="P109" s="1">
        <f t="shared" si="20"/>
        <v>21</v>
      </c>
      <c r="Q109" s="1">
        <f t="shared" si="20"/>
        <v>23</v>
      </c>
      <c r="R109" s="1">
        <f t="shared" si="20"/>
        <v>2</v>
      </c>
      <c r="S109" s="1">
        <f t="shared" si="20"/>
        <v>5</v>
      </c>
      <c r="T109" s="1">
        <f t="shared" si="20"/>
        <v>5</v>
      </c>
      <c r="U109" s="1">
        <f t="shared" si="20"/>
        <v>2</v>
      </c>
      <c r="V109" s="1">
        <f t="shared" si="20"/>
        <v>3</v>
      </c>
      <c r="W109" s="1">
        <f t="shared" si="20"/>
        <v>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rightToLeft="1" workbookViewId="0">
      <selection activeCell="F23" sqref="F23"/>
    </sheetView>
  </sheetViews>
  <sheetFormatPr defaultColWidth="9.140625" defaultRowHeight="15" x14ac:dyDescent="0.25"/>
  <cols>
    <col min="1" max="1" width="6.42578125" style="2" bestFit="1" customWidth="1"/>
    <col min="2" max="2" width="34.28515625" style="2" bestFit="1" customWidth="1"/>
    <col min="3" max="3" width="4.7109375" style="2" bestFit="1" customWidth="1"/>
    <col min="4" max="4" width="9.140625" style="2"/>
    <col min="5" max="5" width="11" style="2" bestFit="1" customWidth="1"/>
    <col min="6" max="16384" width="9.140625" style="2"/>
  </cols>
  <sheetData>
    <row r="1" spans="1:3" ht="21" x14ac:dyDescent="0.25">
      <c r="A1" s="4" t="s">
        <v>2</v>
      </c>
      <c r="B1" s="5"/>
      <c r="C1" s="6"/>
    </row>
    <row r="2" spans="1:3" ht="21" x14ac:dyDescent="0.25">
      <c r="A2" s="1" t="s">
        <v>0</v>
      </c>
      <c r="B2" s="1" t="s">
        <v>1</v>
      </c>
      <c r="C2" s="1" t="s">
        <v>70</v>
      </c>
    </row>
    <row r="3" spans="1:3" ht="21" x14ac:dyDescent="0.25">
      <c r="A3" s="1"/>
      <c r="B3" s="1" t="s">
        <v>108</v>
      </c>
      <c r="C3" s="1">
        <v>10</v>
      </c>
    </row>
    <row r="4" spans="1:3" ht="21" x14ac:dyDescent="0.25">
      <c r="A4" s="1"/>
      <c r="B4" s="1" t="s">
        <v>109</v>
      </c>
      <c r="C4" s="1">
        <v>4</v>
      </c>
    </row>
    <row r="5" spans="1:3" ht="21" x14ac:dyDescent="0.25">
      <c r="A5" s="1"/>
      <c r="B5" s="1" t="s">
        <v>110</v>
      </c>
      <c r="C5" s="1">
        <v>10</v>
      </c>
    </row>
    <row r="6" spans="1:3" ht="21" x14ac:dyDescent="0.25">
      <c r="A6" s="1">
        <v>1041</v>
      </c>
      <c r="B6" s="1" t="s">
        <v>17</v>
      </c>
      <c r="C6" s="1">
        <v>2</v>
      </c>
    </row>
    <row r="7" spans="1:3" ht="21" x14ac:dyDescent="0.25">
      <c r="A7" s="1">
        <v>1048</v>
      </c>
      <c r="B7" s="1" t="s">
        <v>19</v>
      </c>
      <c r="C7" s="1">
        <v>2</v>
      </c>
    </row>
    <row r="8" spans="1:3" ht="21" x14ac:dyDescent="0.25">
      <c r="A8" s="1">
        <v>1049</v>
      </c>
      <c r="B8" s="1" t="s">
        <v>20</v>
      </c>
      <c r="C8" s="1">
        <v>3</v>
      </c>
    </row>
    <row r="9" spans="1:3" ht="21" x14ac:dyDescent="0.25">
      <c r="A9" s="1">
        <v>1058</v>
      </c>
      <c r="B9" s="1" t="s">
        <v>24</v>
      </c>
      <c r="C9" s="1">
        <v>2</v>
      </c>
    </row>
    <row r="10" spans="1:3" ht="21" x14ac:dyDescent="0.25">
      <c r="A10" s="1">
        <v>1061</v>
      </c>
      <c r="B10" s="1" t="s">
        <v>27</v>
      </c>
      <c r="C10" s="1">
        <v>3</v>
      </c>
    </row>
    <row r="11" spans="1:3" ht="21" x14ac:dyDescent="0.25">
      <c r="A11" s="1">
        <v>1058</v>
      </c>
      <c r="B11" s="1" t="s">
        <v>24</v>
      </c>
      <c r="C11" s="1">
        <v>1</v>
      </c>
    </row>
    <row r="12" spans="1:3" ht="21" x14ac:dyDescent="0.25">
      <c r="A12" s="1"/>
      <c r="B12" s="1" t="s">
        <v>71</v>
      </c>
      <c r="C12" s="1">
        <v>2</v>
      </c>
    </row>
    <row r="13" spans="1:3" ht="21" x14ac:dyDescent="0.25">
      <c r="A13" s="1"/>
      <c r="B13" s="1" t="s">
        <v>111</v>
      </c>
      <c r="C13" s="1">
        <v>30</v>
      </c>
    </row>
    <row r="14" spans="1:3" ht="21" x14ac:dyDescent="0.25">
      <c r="A14" s="1"/>
      <c r="B14" s="1" t="s">
        <v>112</v>
      </c>
      <c r="C14" s="1">
        <v>2</v>
      </c>
    </row>
    <row r="15" spans="1:3" ht="21" x14ac:dyDescent="0.25">
      <c r="A15" s="1"/>
      <c r="B15" s="1"/>
      <c r="C15" s="1"/>
    </row>
    <row r="16" spans="1:3" ht="21" x14ac:dyDescent="0.25">
      <c r="A16" s="1" t="s">
        <v>69</v>
      </c>
      <c r="B16" s="1"/>
      <c r="C16" s="1">
        <f>SUM(C3:C14)</f>
        <v>71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سفارش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2026-07-28T13:06:55Z</dcterms:modified>
</cp:coreProperties>
</file>